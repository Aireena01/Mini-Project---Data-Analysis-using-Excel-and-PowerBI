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iree\Downloads\Mini Project - Data Analysis using Excel and PowerBI\"/>
    </mc:Choice>
  </mc:AlternateContent>
  <xr:revisionPtr revIDLastSave="0" documentId="13_ncr:1_{CBD4F4B6-CFF4-4A1C-A50B-D43EE87EE4CE}" xr6:coauthVersionLast="47" xr6:coauthVersionMax="47" xr10:uidLastSave="{00000000-0000-0000-0000-000000000000}"/>
  <bookViews>
    <workbookView xWindow="-108" yWindow="-108" windowWidth="23256" windowHeight="12456" xr2:uid="{61D298D2-FF5B-445D-96D6-13DD5C4B371F}"/>
  </bookViews>
  <sheets>
    <sheet name="ecommerce_sales" sheetId="1" r:id="rId1"/>
    <sheet name="Pivot Tables" sheetId="4" r:id="rId2"/>
    <sheet name="Pivot Charts" sheetId="7" r:id="rId3"/>
    <sheet name="Dashboard" sheetId="8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J13" i="1"/>
  <c r="N13" i="1"/>
  <c r="B708" i="1"/>
  <c r="C708" i="1" s="1"/>
  <c r="D708" i="1" s="1"/>
  <c r="E708" i="1" s="1"/>
  <c r="F708" i="1" s="1"/>
  <c r="B709" i="1"/>
  <c r="C709" i="1" s="1"/>
  <c r="D709" i="1" s="1"/>
  <c r="E709" i="1" s="1"/>
  <c r="F709" i="1" s="1"/>
  <c r="B710" i="1"/>
  <c r="C710" i="1" s="1"/>
  <c r="D710" i="1" s="1"/>
  <c r="E710" i="1" s="1"/>
  <c r="F710" i="1" s="1"/>
  <c r="B711" i="1"/>
  <c r="C711" i="1" s="1"/>
  <c r="D711" i="1" s="1"/>
  <c r="E711" i="1" s="1"/>
  <c r="F711" i="1" s="1"/>
  <c r="B712" i="1"/>
  <c r="C712" i="1" s="1"/>
  <c r="D712" i="1" s="1"/>
  <c r="E712" i="1" s="1"/>
  <c r="F712" i="1" s="1"/>
  <c r="B713" i="1"/>
  <c r="C713" i="1" s="1"/>
  <c r="D713" i="1" s="1"/>
  <c r="E713" i="1" s="1"/>
  <c r="B714" i="1"/>
  <c r="C714" i="1" s="1"/>
  <c r="D714" i="1" s="1"/>
  <c r="E714" i="1" s="1"/>
  <c r="F714" i="1" s="1"/>
  <c r="B715" i="1"/>
  <c r="C715" i="1" s="1"/>
  <c r="D715" i="1" s="1"/>
  <c r="E715" i="1" s="1"/>
  <c r="B716" i="1"/>
  <c r="C716" i="1" s="1"/>
  <c r="D716" i="1" s="1"/>
  <c r="E716" i="1" s="1"/>
  <c r="F716" i="1" s="1"/>
  <c r="B717" i="1"/>
  <c r="C717" i="1" s="1"/>
  <c r="D717" i="1" s="1"/>
  <c r="E717" i="1" s="1"/>
  <c r="F717" i="1" s="1"/>
  <c r="B718" i="1"/>
  <c r="C718" i="1" s="1"/>
  <c r="D718" i="1" s="1"/>
  <c r="E718" i="1" s="1"/>
  <c r="F718" i="1" s="1"/>
  <c r="B719" i="1"/>
  <c r="C719" i="1" s="1"/>
  <c r="D719" i="1" s="1"/>
  <c r="E719" i="1" s="1"/>
  <c r="F719" i="1" s="1"/>
  <c r="B720" i="1"/>
  <c r="C720" i="1" s="1"/>
  <c r="D720" i="1" s="1"/>
  <c r="E720" i="1" s="1"/>
  <c r="F720" i="1" s="1"/>
  <c r="B721" i="1"/>
  <c r="C721" i="1" s="1"/>
  <c r="D721" i="1" s="1"/>
  <c r="E721" i="1" s="1"/>
  <c r="F721" i="1" s="1"/>
  <c r="B722" i="1"/>
  <c r="C722" i="1" s="1"/>
  <c r="D722" i="1" s="1"/>
  <c r="E722" i="1" s="1"/>
  <c r="F722" i="1" s="1"/>
  <c r="B723" i="1"/>
  <c r="C723" i="1" s="1"/>
  <c r="D723" i="1" s="1"/>
  <c r="E723" i="1" s="1"/>
  <c r="F723" i="1" s="1"/>
  <c r="B724" i="1"/>
  <c r="C724" i="1" s="1"/>
  <c r="D724" i="1" s="1"/>
  <c r="E724" i="1" s="1"/>
  <c r="F724" i="1" s="1"/>
  <c r="B725" i="1"/>
  <c r="C725" i="1" s="1"/>
  <c r="D725" i="1" s="1"/>
  <c r="E725" i="1" s="1"/>
  <c r="F725" i="1" s="1"/>
  <c r="B726" i="1"/>
  <c r="C726" i="1" s="1"/>
  <c r="D726" i="1" s="1"/>
  <c r="E726" i="1" s="1"/>
  <c r="F726" i="1" s="1"/>
  <c r="B727" i="1"/>
  <c r="C727" i="1" s="1"/>
  <c r="D727" i="1" s="1"/>
  <c r="E727" i="1" s="1"/>
  <c r="F727" i="1" s="1"/>
  <c r="B728" i="1"/>
  <c r="C728" i="1" s="1"/>
  <c r="D728" i="1" s="1"/>
  <c r="E728" i="1" s="1"/>
  <c r="F728" i="1" s="1"/>
  <c r="B729" i="1"/>
  <c r="C729" i="1" s="1"/>
  <c r="D729" i="1" s="1"/>
  <c r="E729" i="1" s="1"/>
  <c r="F729" i="1" s="1"/>
  <c r="B730" i="1"/>
  <c r="C730" i="1" s="1"/>
  <c r="D730" i="1" s="1"/>
  <c r="E730" i="1" s="1"/>
  <c r="F730" i="1" s="1"/>
  <c r="B731" i="1"/>
  <c r="C731" i="1" s="1"/>
  <c r="D731" i="1" s="1"/>
  <c r="E731" i="1" s="1"/>
  <c r="F731" i="1" s="1"/>
  <c r="B707" i="1"/>
  <c r="C707" i="1" s="1"/>
  <c r="D707" i="1" s="1"/>
  <c r="E707" i="1" s="1"/>
  <c r="F707" i="1" s="1"/>
  <c r="N714" i="1"/>
  <c r="N713" i="1"/>
  <c r="N712" i="1"/>
  <c r="N71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N709" i="1"/>
  <c r="N708" i="1"/>
  <c r="N706" i="1"/>
  <c r="N707" i="1"/>
  <c r="N2" i="1"/>
  <c r="N3" i="1"/>
  <c r="N4" i="1"/>
  <c r="N5" i="1"/>
  <c r="N6" i="1"/>
  <c r="N7" i="1"/>
  <c r="N8" i="1"/>
  <c r="N9" i="1"/>
  <c r="N10" i="1"/>
  <c r="N11" i="1"/>
  <c r="N12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J2" i="1"/>
  <c r="J3" i="1"/>
  <c r="J4" i="1"/>
  <c r="J5" i="1"/>
  <c r="J6" i="1"/>
  <c r="J7" i="1"/>
  <c r="J8" i="1"/>
  <c r="J9" i="1"/>
  <c r="J10" i="1"/>
  <c r="J11" i="1"/>
  <c r="J12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G2" i="1"/>
  <c r="G3" i="1"/>
  <c r="G4" i="1"/>
  <c r="G5" i="1"/>
  <c r="G6" i="1"/>
  <c r="G7" i="1"/>
  <c r="G8" i="1"/>
  <c r="G9" i="1"/>
  <c r="G10" i="1"/>
  <c r="G11" i="1"/>
  <c r="G12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C703" i="1"/>
  <c r="D703" i="1"/>
  <c r="E703" i="1"/>
  <c r="F703" i="1"/>
  <c r="H703" i="1"/>
  <c r="I703" i="1"/>
  <c r="K703" i="1"/>
  <c r="L703" i="1"/>
  <c r="M703" i="1"/>
  <c r="O703" i="1"/>
  <c r="B703" i="1"/>
  <c r="A703" i="1"/>
</calcChain>
</file>

<file path=xl/sharedStrings.xml><?xml version="1.0" encoding="utf-8"?>
<sst xmlns="http://schemas.openxmlformats.org/spreadsheetml/2006/main" count="5346" uniqueCount="276">
  <si>
    <t>C1200</t>
  </si>
  <si>
    <t>Sneha</t>
  </si>
  <si>
    <t>Fashion</t>
  </si>
  <si>
    <t>T-Shirt</t>
  </si>
  <si>
    <t>Net Banking</t>
  </si>
  <si>
    <t>Cancelled</t>
  </si>
  <si>
    <t>C1100</t>
  </si>
  <si>
    <t>Neha</t>
  </si>
  <si>
    <t>Bangalore</t>
  </si>
  <si>
    <t>Home</t>
  </si>
  <si>
    <t>Chair</t>
  </si>
  <si>
    <t>Cash on Delivery</t>
  </si>
  <si>
    <t>Shipped</t>
  </si>
  <si>
    <t>C1125</t>
  </si>
  <si>
    <t>Priya</t>
  </si>
  <si>
    <t>Maharashtra</t>
  </si>
  <si>
    <t>Lamp</t>
  </si>
  <si>
    <t>Delivered</t>
  </si>
  <si>
    <t>C1128</t>
  </si>
  <si>
    <t>Karan</t>
  </si>
  <si>
    <t>Delhi</t>
  </si>
  <si>
    <t>Headphones</t>
  </si>
  <si>
    <t>C1040</t>
  </si>
  <si>
    <t>Amit</t>
  </si>
  <si>
    <t>Jeans</t>
  </si>
  <si>
    <t>C1095</t>
  </si>
  <si>
    <t>Card</t>
  </si>
  <si>
    <t>02/18/2025</t>
  </si>
  <si>
    <t>C1068</t>
  </si>
  <si>
    <t>C1198</t>
  </si>
  <si>
    <t>C1084</t>
  </si>
  <si>
    <t>C1015</t>
  </si>
  <si>
    <t>Mumbai</t>
  </si>
  <si>
    <t>Electronics</t>
  </si>
  <si>
    <t>C1184</t>
  </si>
  <si>
    <t>Pune</t>
  </si>
  <si>
    <t>Maharastra</t>
  </si>
  <si>
    <t>Mouse</t>
  </si>
  <si>
    <t>C1137</t>
  </si>
  <si>
    <t>Anjali</t>
  </si>
  <si>
    <t>C1022</t>
  </si>
  <si>
    <t>C1156</t>
  </si>
  <si>
    <t>C1127</t>
  </si>
  <si>
    <t>Rahul</t>
  </si>
  <si>
    <t>C1097</t>
  </si>
  <si>
    <t>Lucknow</t>
  </si>
  <si>
    <t>C1179</t>
  </si>
  <si>
    <t>C1168</t>
  </si>
  <si>
    <t>C1194</t>
  </si>
  <si>
    <t>Keyboard</t>
  </si>
  <si>
    <t>C1053</t>
  </si>
  <si>
    <t>C1051</t>
  </si>
  <si>
    <t>Karnataka</t>
  </si>
  <si>
    <t>C1111</t>
  </si>
  <si>
    <t>Uttar Pradesh</t>
  </si>
  <si>
    <t>C1162</t>
  </si>
  <si>
    <t>C1031</t>
  </si>
  <si>
    <t>Vikram</t>
  </si>
  <si>
    <t>Returned</t>
  </si>
  <si>
    <t>C1190</t>
  </si>
  <si>
    <t>C1003</t>
  </si>
  <si>
    <t>C1034</t>
  </si>
  <si>
    <t>C1185</t>
  </si>
  <si>
    <t>C1009</t>
  </si>
  <si>
    <t>C1121</t>
  </si>
  <si>
    <t>C1064</t>
  </si>
  <si>
    <t>C1132</t>
  </si>
  <si>
    <t>C1037</t>
  </si>
  <si>
    <t>C1160</t>
  </si>
  <si>
    <t>C1083</t>
  </si>
  <si>
    <t>C1093</t>
  </si>
  <si>
    <t>C1191</t>
  </si>
  <si>
    <t>C1090</t>
  </si>
  <si>
    <t>C1152</t>
  </si>
  <si>
    <t>C1066</t>
  </si>
  <si>
    <t>C1017</t>
  </si>
  <si>
    <t>C1032</t>
  </si>
  <si>
    <t>C1055</t>
  </si>
  <si>
    <t>C1063</t>
  </si>
  <si>
    <t>C1006</t>
  </si>
  <si>
    <t>C1049</t>
  </si>
  <si>
    <t>C1098</t>
  </si>
  <si>
    <t>C1094</t>
  </si>
  <si>
    <t>C1123</t>
  </si>
  <si>
    <t>C1019</t>
  </si>
  <si>
    <t>C1005</t>
  </si>
  <si>
    <t>C1145</t>
  </si>
  <si>
    <t>C1126</t>
  </si>
  <si>
    <t>C1002</t>
  </si>
  <si>
    <t>C1030</t>
  </si>
  <si>
    <t>C1065</t>
  </si>
  <si>
    <t>C1096</t>
  </si>
  <si>
    <t>C1150</t>
  </si>
  <si>
    <t>C1103</t>
  </si>
  <si>
    <t>C1139</t>
  </si>
  <si>
    <t>C1052</t>
  </si>
  <si>
    <t>C1143</t>
  </si>
  <si>
    <t>C1092</t>
  </si>
  <si>
    <t>C1018</t>
  </si>
  <si>
    <t>C1059</t>
  </si>
  <si>
    <t>C1107</t>
  </si>
  <si>
    <t>C1038</t>
  </si>
  <si>
    <t>C1176</t>
  </si>
  <si>
    <t>C1165</t>
  </si>
  <si>
    <t>C1140</t>
  </si>
  <si>
    <t>C1035</t>
  </si>
  <si>
    <t>C1082</t>
  </si>
  <si>
    <t>C1119</t>
  </si>
  <si>
    <t>C1136</t>
  </si>
  <si>
    <t>C1134</t>
  </si>
  <si>
    <t>C1077</t>
  </si>
  <si>
    <t>C1122</t>
  </si>
  <si>
    <t>C1173</t>
  </si>
  <si>
    <t>C1061</t>
  </si>
  <si>
    <t>C1104</t>
  </si>
  <si>
    <t>C1193</t>
  </si>
  <si>
    <t>C1039</t>
  </si>
  <si>
    <t>C1158</t>
  </si>
  <si>
    <t>C1004</t>
  </si>
  <si>
    <t>C1131</t>
  </si>
  <si>
    <t>C1058</t>
  </si>
  <si>
    <t>C1057</t>
  </si>
  <si>
    <t>C1067</t>
  </si>
  <si>
    <t>C1021</t>
  </si>
  <si>
    <t>C1023</t>
  </si>
  <si>
    <t>C1138</t>
  </si>
  <si>
    <t>C1175</t>
  </si>
  <si>
    <t>C1016</t>
  </si>
  <si>
    <t>C1146</t>
  </si>
  <si>
    <t>C1008</t>
  </si>
  <si>
    <t>C1091</t>
  </si>
  <si>
    <t>C1180</t>
  </si>
  <si>
    <t>C1087</t>
  </si>
  <si>
    <t>C1189</t>
  </si>
  <si>
    <t>C1141</t>
  </si>
  <si>
    <t>C1197</t>
  </si>
  <si>
    <t>C1177</t>
  </si>
  <si>
    <t>C1124</t>
  </si>
  <si>
    <t>C1085</t>
  </si>
  <si>
    <t>C1078</t>
  </si>
  <si>
    <t>C1062</t>
  </si>
  <si>
    <t>C1042</t>
  </si>
  <si>
    <t>C1105</t>
  </si>
  <si>
    <t>C1102</t>
  </si>
  <si>
    <t>C1192</t>
  </si>
  <si>
    <t>C1154</t>
  </si>
  <si>
    <t>C1169</t>
  </si>
  <si>
    <t>C1181</t>
  </si>
  <si>
    <t>C1025</t>
  </si>
  <si>
    <t>C1116</t>
  </si>
  <si>
    <t>C1166</t>
  </si>
  <si>
    <t>C1029</t>
  </si>
  <si>
    <t>C1071</t>
  </si>
  <si>
    <t>C1174</t>
  </si>
  <si>
    <t>C1076</t>
  </si>
  <si>
    <t>C1170</t>
  </si>
  <si>
    <t>C1149</t>
  </si>
  <si>
    <t>C1046</t>
  </si>
  <si>
    <t>C1036</t>
  </si>
  <si>
    <t>C1130</t>
  </si>
  <si>
    <t>C1047</t>
  </si>
  <si>
    <t>C1033</t>
  </si>
  <si>
    <t>C1161</t>
  </si>
  <si>
    <t>C1041</t>
  </si>
  <si>
    <t>C1133</t>
  </si>
  <si>
    <t>C1012</t>
  </si>
  <si>
    <t>C1171</t>
  </si>
  <si>
    <t>C1081</t>
  </si>
  <si>
    <t>C1001</t>
  </si>
  <si>
    <t>C1013</t>
  </si>
  <si>
    <t>C1074</t>
  </si>
  <si>
    <t>C1144</t>
  </si>
  <si>
    <t>C1072</t>
  </si>
  <si>
    <t>C1089</t>
  </si>
  <si>
    <t>C1088</t>
  </si>
  <si>
    <t>C1026</t>
  </si>
  <si>
    <t>C1196</t>
  </si>
  <si>
    <t>C1028</t>
  </si>
  <si>
    <t>C1167</t>
  </si>
  <si>
    <t>C1060</t>
  </si>
  <si>
    <t>C1014</t>
  </si>
  <si>
    <t>C1113</t>
  </si>
  <si>
    <t>C1115</t>
  </si>
  <si>
    <t>C1073</t>
  </si>
  <si>
    <t>C1054</t>
  </si>
  <si>
    <t>C1007</t>
  </si>
  <si>
    <t>C1108</t>
  </si>
  <si>
    <t>C1044</t>
  </si>
  <si>
    <t>C1148</t>
  </si>
  <si>
    <t>C1117</t>
  </si>
  <si>
    <t>C1186</t>
  </si>
  <si>
    <t>C1183</t>
  </si>
  <si>
    <t>C1010</t>
  </si>
  <si>
    <t>03/20/2025</t>
  </si>
  <si>
    <t>C1155</t>
  </si>
  <si>
    <t>C1147</t>
  </si>
  <si>
    <t>C1101</t>
  </si>
  <si>
    <t>C1172</t>
  </si>
  <si>
    <t>C1187</t>
  </si>
  <si>
    <t>C1129</t>
  </si>
  <si>
    <t>C1182</t>
  </si>
  <si>
    <t>C1157</t>
  </si>
  <si>
    <t>C1142</t>
  </si>
  <si>
    <t>C1024</t>
  </si>
  <si>
    <t>C1099</t>
  </si>
  <si>
    <t>C1159</t>
  </si>
  <si>
    <t>C1050</t>
  </si>
  <si>
    <t>C1195</t>
  </si>
  <si>
    <t>C1178</t>
  </si>
  <si>
    <t>C1079</t>
  </si>
  <si>
    <t>C1188</t>
  </si>
  <si>
    <t>C1045</t>
  </si>
  <si>
    <t>C1112</t>
  </si>
  <si>
    <t>C1109</t>
  </si>
  <si>
    <t>C1027</t>
  </si>
  <si>
    <t>C1000</t>
  </si>
  <si>
    <t>C1114</t>
  </si>
  <si>
    <t>C1056</t>
  </si>
  <si>
    <t>C1043</t>
  </si>
  <si>
    <t>C1011</t>
  </si>
  <si>
    <t>C1163</t>
  </si>
  <si>
    <t>C1199</t>
  </si>
  <si>
    <t>C1020</t>
  </si>
  <si>
    <t>C1164</t>
  </si>
  <si>
    <t>C1106</t>
  </si>
  <si>
    <t>C1153</t>
  </si>
  <si>
    <t>C1070</t>
  </si>
  <si>
    <t>C1151</t>
  </si>
  <si>
    <t>C1048</t>
  </si>
  <si>
    <t>C1118</t>
  </si>
  <si>
    <t>C1120</t>
  </si>
  <si>
    <t>C1080</t>
  </si>
  <si>
    <t>C1086</t>
  </si>
  <si>
    <t>C1075</t>
  </si>
  <si>
    <t>C1069</t>
  </si>
  <si>
    <t>Order ID</t>
  </si>
  <si>
    <t>Customer ID</t>
  </si>
  <si>
    <t>Customer Name</t>
  </si>
  <si>
    <t>City</t>
  </si>
  <si>
    <t>State</t>
  </si>
  <si>
    <t>Category</t>
  </si>
  <si>
    <t>Product</t>
  </si>
  <si>
    <t>Quantity</t>
  </si>
  <si>
    <t>Payment method</t>
  </si>
  <si>
    <t>Order status</t>
  </si>
  <si>
    <t>Order date</t>
  </si>
  <si>
    <t>Unit price</t>
  </si>
  <si>
    <t xml:space="preserve">Pune </t>
  </si>
  <si>
    <t xml:space="preserve">Bangalore </t>
  </si>
  <si>
    <t xml:space="preserve">Mumbai </t>
  </si>
  <si>
    <t>Product replaced</t>
  </si>
  <si>
    <t>State  replaced</t>
  </si>
  <si>
    <t>Payment method replaced</t>
  </si>
  <si>
    <t>AVERAGE PRICE</t>
  </si>
  <si>
    <t>TOAL QTY</t>
  </si>
  <si>
    <t>MIN PRICE</t>
  </si>
  <si>
    <t>MAX PRICE</t>
  </si>
  <si>
    <t>Price Range</t>
  </si>
  <si>
    <t>MEAN</t>
  </si>
  <si>
    <t>MEDIAN</t>
  </si>
  <si>
    <t>MODE</t>
  </si>
  <si>
    <t>Unknown</t>
  </si>
  <si>
    <t>STANDARD DEV</t>
  </si>
  <si>
    <t>Row Labels</t>
  </si>
  <si>
    <t>Grand Total</t>
  </si>
  <si>
    <t>Column Labels</t>
  </si>
  <si>
    <t>Sum of Unit price</t>
  </si>
  <si>
    <t>Count of Order ID</t>
  </si>
  <si>
    <t>Count of Payment method replaced</t>
  </si>
  <si>
    <t>Count of Quantity</t>
  </si>
  <si>
    <t>Average of Unit price</t>
  </si>
  <si>
    <t>Average Unit price  by City</t>
  </si>
  <si>
    <t xml:space="preserve">Count of Payment method by State </t>
  </si>
  <si>
    <t>Sum of Unit Price by Product</t>
  </si>
  <si>
    <t>Count of Order ID by State</t>
  </si>
  <si>
    <t>Count of Payment method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</si>
</sst>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33669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top" wrapText="1"/>
    </xf>
    <xf numFmtId="0" fontId="16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164" fontId="16" fillId="0" borderId="0" xfId="0" applyNumberFormat="1" applyFont="1"/>
    <xf numFmtId="165" fontId="0" fillId="0" borderId="0" xfId="0" applyNumberFormat="1" applyAlignment="1">
      <alignment horizontal="center" vertical="top" wrapText="1"/>
    </xf>
    <xf numFmtId="165" fontId="0" fillId="0" borderId="0" xfId="0" applyNumberFormat="1" applyAlignment="1">
      <alignment horizontal="center"/>
    </xf>
    <xf numFmtId="2" fontId="16" fillId="0" borderId="0" xfId="0" applyNumberFormat="1" applyFont="1"/>
    <xf numFmtId="0" fontId="0" fillId="34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3" fillId="33" borderId="11" xfId="0" applyFont="1" applyFill="1" applyBorder="1" applyAlignment="1">
      <alignment horizontal="center" vertical="top" wrapText="1"/>
    </xf>
    <xf numFmtId="14" fontId="13" fillId="33" borderId="11" xfId="0" applyNumberFormat="1" applyFont="1" applyFill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36" borderId="0" xfId="0" applyFill="1"/>
    <xf numFmtId="0" fontId="19" fillId="35" borderId="0" xfId="0" applyFont="1" applyFill="1" applyAlignment="1">
      <alignment horizontal="center"/>
    </xf>
    <xf numFmtId="0" fontId="18" fillId="35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color rgb="FF7030A0"/>
      </font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</dxf>
    <dxf>
      <numFmt numFmtId="0" formatCode="General"/>
    </dxf>
    <dxf>
      <alignment horizontal="center" vertical="top" textRotation="0" wrapText="1" indent="0" justifyLastLine="0" shrinkToFit="0" readingOrder="0"/>
    </dxf>
    <dxf>
      <numFmt numFmtId="0" formatCode="General"/>
    </dxf>
    <dxf>
      <numFmt numFmtId="165" formatCode="&quot;₹&quot;\ #,##0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</dxf>
    <dxf>
      <numFmt numFmtId="0" formatCode="General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19" formatCode="dd/mm/yyyy"/>
    </dxf>
    <dxf>
      <alignment horizontal="center" textRotation="0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CCECFF"/>
      <color rgb="FFCCFFFF"/>
      <color rgb="FF99CCFF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[ecommerce_sales.csv.xlsx]Pivot Tables!PivotTable5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Tables'!$A$5:$A$13</c:f>
              <c:strCache>
                <c:ptCount val="8"/>
                <c:pt idx="0">
                  <c:v>Bangalore</c:v>
                </c:pt>
                <c:pt idx="1">
                  <c:v>Bangalore </c:v>
                </c:pt>
                <c:pt idx="2">
                  <c:v>Delhi</c:v>
                </c:pt>
                <c:pt idx="3">
                  <c:v>Lucknow</c:v>
                </c:pt>
                <c:pt idx="4">
                  <c:v>Mumbai</c:v>
                </c:pt>
                <c:pt idx="5">
                  <c:v>Mumbai </c:v>
                </c:pt>
                <c:pt idx="6">
                  <c:v>Pune</c:v>
                </c:pt>
                <c:pt idx="7">
                  <c:v>Pune </c:v>
                </c:pt>
              </c:strCache>
            </c:strRef>
          </c:cat>
          <c:val>
            <c:numRef>
              <c:f>'Pivot Tables'!$B$5:$B$13</c:f>
              <c:numCache>
                <c:formatCode>"₹"\ #,##0</c:formatCode>
                <c:ptCount val="8"/>
                <c:pt idx="0">
                  <c:v>25956.5</c:v>
                </c:pt>
                <c:pt idx="1">
                  <c:v>17995.610169491527</c:v>
                </c:pt>
                <c:pt idx="2">
                  <c:v>21184.141891891893</c:v>
                </c:pt>
                <c:pt idx="3">
                  <c:v>14640.109589041096</c:v>
                </c:pt>
                <c:pt idx="4">
                  <c:v>10621.115384615385</c:v>
                </c:pt>
                <c:pt idx="5">
                  <c:v>1070.4285714285713</c:v>
                </c:pt>
                <c:pt idx="6">
                  <c:v>999</c:v>
                </c:pt>
                <c:pt idx="7">
                  <c:v>1016.6470588235294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2-47AE-A76A-6EFF7A0FA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0690655"/>
        <c:axId val="1566933103"/>
        <c:axId val="0"/>
      </c:bar3DChart>
      <c:catAx>
        <c:axId val="157069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933103"/>
        <c:crosses val="autoZero"/>
        <c:auto val="1"/>
        <c:lblAlgn val="ctr"/>
        <c:lblOffset val="100"/>
        <c:noMultiLvlLbl val="0"/>
      </c:catAx>
      <c:valAx>
        <c:axId val="15669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9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[ecommerce_sales.csv.xlsx]Pivot Tables!PivotTable6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Tables'!$F$4:$F$5</c:f>
              <c:strCache>
                <c:ptCount val="1"/>
                <c:pt idx="0">
                  <c:v>Card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Tables'!$E$6:$E$12</c:f>
              <c:strCache>
                <c:ptCount val="6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Maharastra</c:v>
                </c:pt>
                <c:pt idx="4">
                  <c:v>Unknown</c:v>
                </c:pt>
                <c:pt idx="5">
                  <c:v>Uttar Pradesh</c:v>
                </c:pt>
              </c:strCache>
            </c:strRef>
          </c:cat>
          <c:val>
            <c:numRef>
              <c:f>'Pivot Tables'!$F$6:$F$12</c:f>
              <c:numCache>
                <c:formatCode>General</c:formatCode>
                <c:ptCount val="6"/>
                <c:pt idx="0">
                  <c:v>30</c:v>
                </c:pt>
                <c:pt idx="1">
                  <c:v>24</c:v>
                </c:pt>
                <c:pt idx="2">
                  <c:v>36</c:v>
                </c:pt>
                <c:pt idx="3">
                  <c:v>15</c:v>
                </c:pt>
                <c:pt idx="4">
                  <c:v>5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4-449F-AA60-16784A207FC0}"/>
            </c:ext>
          </c:extLst>
        </c:ser>
        <c:ser>
          <c:idx val="1"/>
          <c:order val="1"/>
          <c:tx>
            <c:strRef>
              <c:f>'Pivot Tables'!$G$4:$G$5</c:f>
              <c:strCache>
                <c:ptCount val="1"/>
                <c:pt idx="0">
                  <c:v>Cash on Delivery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Tables'!$E$6:$E$12</c:f>
              <c:strCache>
                <c:ptCount val="6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Maharastra</c:v>
                </c:pt>
                <c:pt idx="4">
                  <c:v>Unknown</c:v>
                </c:pt>
                <c:pt idx="5">
                  <c:v>Uttar Pradesh</c:v>
                </c:pt>
              </c:strCache>
            </c:strRef>
          </c:cat>
          <c:val>
            <c:numRef>
              <c:f>'Pivot Tables'!$G$6:$G$12</c:f>
              <c:numCache>
                <c:formatCode>General</c:formatCode>
                <c:ptCount val="6"/>
                <c:pt idx="0">
                  <c:v>27</c:v>
                </c:pt>
                <c:pt idx="1">
                  <c:v>26</c:v>
                </c:pt>
                <c:pt idx="2">
                  <c:v>30</c:v>
                </c:pt>
                <c:pt idx="3">
                  <c:v>20</c:v>
                </c:pt>
                <c:pt idx="4">
                  <c:v>4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4-449F-AA60-16784A207FC0}"/>
            </c:ext>
          </c:extLst>
        </c:ser>
        <c:ser>
          <c:idx val="2"/>
          <c:order val="2"/>
          <c:tx>
            <c:strRef>
              <c:f>'Pivot Tables'!$H$4:$H$5</c:f>
              <c:strCache>
                <c:ptCount val="1"/>
                <c:pt idx="0">
                  <c:v>Net Banking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Tables'!$E$6:$E$12</c:f>
              <c:strCache>
                <c:ptCount val="6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Maharastra</c:v>
                </c:pt>
                <c:pt idx="4">
                  <c:v>Unknown</c:v>
                </c:pt>
                <c:pt idx="5">
                  <c:v>Uttar Pradesh</c:v>
                </c:pt>
              </c:strCache>
            </c:strRef>
          </c:cat>
          <c:val>
            <c:numRef>
              <c:f>'Pivot Tables'!$H$6:$H$12</c:f>
              <c:numCache>
                <c:formatCode>General</c:formatCode>
                <c:ptCount val="6"/>
                <c:pt idx="0">
                  <c:v>27</c:v>
                </c:pt>
                <c:pt idx="1">
                  <c:v>22</c:v>
                </c:pt>
                <c:pt idx="2">
                  <c:v>33</c:v>
                </c:pt>
                <c:pt idx="3">
                  <c:v>13</c:v>
                </c:pt>
                <c:pt idx="4">
                  <c:v>9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04-449F-AA60-16784A207FC0}"/>
            </c:ext>
          </c:extLst>
        </c:ser>
        <c:ser>
          <c:idx val="3"/>
          <c:order val="3"/>
          <c:tx>
            <c:strRef>
              <c:f>'Pivot Tables'!$I$4:$I$5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Tables'!$E$6:$E$12</c:f>
              <c:strCache>
                <c:ptCount val="6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Maharastra</c:v>
                </c:pt>
                <c:pt idx="4">
                  <c:v>Unknown</c:v>
                </c:pt>
                <c:pt idx="5">
                  <c:v>Uttar Pradesh</c:v>
                </c:pt>
              </c:strCache>
            </c:strRef>
          </c:cat>
          <c:val>
            <c:numRef>
              <c:f>'Pivot Tables'!$I$6:$I$12</c:f>
              <c:numCache>
                <c:formatCode>General</c:formatCode>
                <c:ptCount val="6"/>
                <c:pt idx="0">
                  <c:v>51</c:v>
                </c:pt>
                <c:pt idx="1">
                  <c:v>61</c:v>
                </c:pt>
                <c:pt idx="2">
                  <c:v>74</c:v>
                </c:pt>
                <c:pt idx="3">
                  <c:v>36</c:v>
                </c:pt>
                <c:pt idx="4">
                  <c:v>13</c:v>
                </c:pt>
                <c:pt idx="5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04-449F-AA60-16784A207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9666047"/>
        <c:axId val="1566923503"/>
        <c:axId val="0"/>
      </c:bar3DChart>
      <c:catAx>
        <c:axId val="208966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923503"/>
        <c:crosses val="autoZero"/>
        <c:auto val="1"/>
        <c:lblAlgn val="ctr"/>
        <c:lblOffset val="100"/>
        <c:noMultiLvlLbl val="0"/>
      </c:catAx>
      <c:valAx>
        <c:axId val="156692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6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[ecommerce_sales.csv.xlsx]Pivot Tables!PivotTable8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Tables'!$M$4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Tables'!$L$5:$L$13</c:f>
              <c:strCache>
                <c:ptCount val="8"/>
                <c:pt idx="0">
                  <c:v>Chair</c:v>
                </c:pt>
                <c:pt idx="1">
                  <c:v>Headphones</c:v>
                </c:pt>
                <c:pt idx="2">
                  <c:v>Jeans</c:v>
                </c:pt>
                <c:pt idx="3">
                  <c:v>Keyboard</c:v>
                </c:pt>
                <c:pt idx="4">
                  <c:v>Lamp</c:v>
                </c:pt>
                <c:pt idx="5">
                  <c:v>Mouse</c:v>
                </c:pt>
                <c:pt idx="6">
                  <c:v>T-Shirt</c:v>
                </c:pt>
                <c:pt idx="7">
                  <c:v>Unknown</c:v>
                </c:pt>
              </c:strCache>
            </c:strRef>
          </c:cat>
          <c:val>
            <c:numRef>
              <c:f>'Pivot Tables'!$M$5:$M$13</c:f>
              <c:numCache>
                <c:formatCode>"₹"\ #,##0</c:formatCode>
                <c:ptCount val="8"/>
                <c:pt idx="0">
                  <c:v>3109785</c:v>
                </c:pt>
                <c:pt idx="1">
                  <c:v>1059139</c:v>
                </c:pt>
                <c:pt idx="2">
                  <c:v>1131181</c:v>
                </c:pt>
                <c:pt idx="3">
                  <c:v>55840</c:v>
                </c:pt>
                <c:pt idx="4">
                  <c:v>111086</c:v>
                </c:pt>
                <c:pt idx="5">
                  <c:v>1061429</c:v>
                </c:pt>
                <c:pt idx="6">
                  <c:v>3129468</c:v>
                </c:pt>
                <c:pt idx="7">
                  <c:v>23375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36-40B5-8949-513DAB2DC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9724047"/>
        <c:axId val="1566868303"/>
      </c:lineChart>
      <c:catAx>
        <c:axId val="208972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68303"/>
        <c:crosses val="autoZero"/>
        <c:auto val="1"/>
        <c:lblAlgn val="ctr"/>
        <c:lblOffset val="100"/>
        <c:noMultiLvlLbl val="0"/>
      </c:catAx>
      <c:valAx>
        <c:axId val="156686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72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[ecommerce_sales.csv.xlsx]Pivot Tables!PivotTable7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Tables'!$B$18:$B$19</c:f>
              <c:strCache>
                <c:ptCount val="1"/>
                <c:pt idx="0">
                  <c:v>Chair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D5D-475B-A07E-1E5D1E150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D5D-475B-A07E-1E5D1E150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D5D-475B-A07E-1E5D1E1503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D5D-475B-A07E-1E5D1E1503B5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Tables'!$B$20:$B$24</c:f>
              <c:numCache>
                <c:formatCode>General</c:formatCode>
                <c:ptCount val="4"/>
                <c:pt idx="0">
                  <c:v>21</c:v>
                </c:pt>
                <c:pt idx="1">
                  <c:v>25</c:v>
                </c:pt>
                <c:pt idx="2">
                  <c:v>19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5D-475B-A07E-1E5D1E1503B5}"/>
            </c:ext>
          </c:extLst>
        </c:ser>
        <c:ser>
          <c:idx val="1"/>
          <c:order val="1"/>
          <c:tx>
            <c:strRef>
              <c:f>'Pivot Tables'!$C$18:$C$19</c:f>
              <c:strCache>
                <c:ptCount val="1"/>
                <c:pt idx="0">
                  <c:v>Headphones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3D5D-475B-A07E-1E5D1E150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3D5D-475B-A07E-1E5D1E150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3D5D-475B-A07E-1E5D1E1503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3D5D-475B-A07E-1E5D1E1503B5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Tables'!$C$20:$C$24</c:f>
              <c:numCache>
                <c:formatCode>General</c:formatCode>
                <c:ptCount val="4"/>
                <c:pt idx="0">
                  <c:v>13</c:v>
                </c:pt>
                <c:pt idx="1">
                  <c:v>10</c:v>
                </c:pt>
                <c:pt idx="2">
                  <c:v>15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D5D-475B-A07E-1E5D1E1503B5}"/>
            </c:ext>
          </c:extLst>
        </c:ser>
        <c:ser>
          <c:idx val="2"/>
          <c:order val="2"/>
          <c:tx>
            <c:strRef>
              <c:f>'Pivot Tables'!$D$18:$D$19</c:f>
              <c:strCache>
                <c:ptCount val="1"/>
                <c:pt idx="0">
                  <c:v>Jeans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D5D-475B-A07E-1E5D1E150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D5D-475B-A07E-1E5D1E150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D5D-475B-A07E-1E5D1E1503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3D5D-475B-A07E-1E5D1E1503B5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Tables'!$D$20:$D$24</c:f>
              <c:numCache>
                <c:formatCode>General</c:formatCode>
                <c:ptCount val="4"/>
                <c:pt idx="0">
                  <c:v>27</c:v>
                </c:pt>
                <c:pt idx="1">
                  <c:v>23</c:v>
                </c:pt>
                <c:pt idx="2">
                  <c:v>19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D5D-475B-A07E-1E5D1E1503B5}"/>
            </c:ext>
          </c:extLst>
        </c:ser>
        <c:ser>
          <c:idx val="3"/>
          <c:order val="3"/>
          <c:tx>
            <c:strRef>
              <c:f>'Pivot Tables'!$E$18:$E$19</c:f>
              <c:strCache>
                <c:ptCount val="1"/>
                <c:pt idx="0">
                  <c:v>Keyboard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3D5D-475B-A07E-1E5D1E150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3D5D-475B-A07E-1E5D1E150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3D5D-475B-A07E-1E5D1E1503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2-3D5D-475B-A07E-1E5D1E1503B5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Tables'!$E$20:$E$24</c:f>
              <c:numCache>
                <c:formatCode>General</c:formatCode>
                <c:ptCount val="4"/>
                <c:pt idx="0">
                  <c:v>10</c:v>
                </c:pt>
                <c:pt idx="1">
                  <c:v>14</c:v>
                </c:pt>
                <c:pt idx="2">
                  <c:v>6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D5D-475B-A07E-1E5D1E1503B5}"/>
            </c:ext>
          </c:extLst>
        </c:ser>
        <c:ser>
          <c:idx val="4"/>
          <c:order val="4"/>
          <c:tx>
            <c:strRef>
              <c:f>'Pivot Tables'!$F$18:$F$19</c:f>
              <c:strCache>
                <c:ptCount val="1"/>
                <c:pt idx="0">
                  <c:v>Lamp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3D5D-475B-A07E-1E5D1E150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3D5D-475B-A07E-1E5D1E150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3D5D-475B-A07E-1E5D1E1503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3D5D-475B-A07E-1E5D1E1503B5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Tables'!$F$20:$F$24</c:f>
              <c:numCache>
                <c:formatCode>General</c:formatCode>
                <c:ptCount val="4"/>
                <c:pt idx="0">
                  <c:v>23</c:v>
                </c:pt>
                <c:pt idx="1">
                  <c:v>25</c:v>
                </c:pt>
                <c:pt idx="2">
                  <c:v>20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3D5D-475B-A07E-1E5D1E1503B5}"/>
            </c:ext>
          </c:extLst>
        </c:ser>
        <c:ser>
          <c:idx val="5"/>
          <c:order val="5"/>
          <c:tx>
            <c:strRef>
              <c:f>'Pivot Tables'!$G$18:$G$19</c:f>
              <c:strCache>
                <c:ptCount val="1"/>
                <c:pt idx="0">
                  <c:v>Mouse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E-3D5D-475B-A07E-1E5D1E150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0-3D5D-475B-A07E-1E5D1E150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2-3D5D-475B-A07E-1E5D1E1503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4-3D5D-475B-A07E-1E5D1E1503B5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Tables'!$G$20:$G$24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18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3D5D-475B-A07E-1E5D1E1503B5}"/>
            </c:ext>
          </c:extLst>
        </c:ser>
        <c:ser>
          <c:idx val="6"/>
          <c:order val="6"/>
          <c:tx>
            <c:strRef>
              <c:f>'Pivot Tables'!$H$18:$H$19</c:f>
              <c:strCache>
                <c:ptCount val="1"/>
                <c:pt idx="0">
                  <c:v>T-Shirt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3D5D-475B-A07E-1E5D1E150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3D5D-475B-A07E-1E5D1E150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3D5D-475B-A07E-1E5D1E1503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3D5D-475B-A07E-1E5D1E1503B5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Tables'!$H$20:$H$24</c:f>
              <c:numCache>
                <c:formatCode>General</c:formatCode>
                <c:ptCount val="4"/>
                <c:pt idx="0">
                  <c:v>29</c:v>
                </c:pt>
                <c:pt idx="1">
                  <c:v>17</c:v>
                </c:pt>
                <c:pt idx="2">
                  <c:v>31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3D5D-475B-A07E-1E5D1E1503B5}"/>
            </c:ext>
          </c:extLst>
        </c:ser>
        <c:ser>
          <c:idx val="7"/>
          <c:order val="7"/>
          <c:tx>
            <c:strRef>
              <c:f>'Pivot Tables'!$I$18:$I$19</c:f>
              <c:strCache>
                <c:ptCount val="1"/>
                <c:pt idx="0">
                  <c:v>Unknown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0-3D5D-475B-A07E-1E5D1E150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2-3D5D-475B-A07E-1E5D1E150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4-3D5D-475B-A07E-1E5D1E1503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6-3D5D-475B-A07E-1E5D1E1503B5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Tables'!$I$20:$I$24</c:f>
              <c:numCache>
                <c:formatCode>General</c:formatCode>
                <c:ptCount val="4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3D5D-475B-A07E-1E5D1E15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[ecommerce_sales.csv.xlsx]Pivot Tables!PivotTable9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Tables'!$M$18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Tables'!$L$19:$L$25</c:f>
              <c:strCache>
                <c:ptCount val="6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Maharastra</c:v>
                </c:pt>
                <c:pt idx="4">
                  <c:v>Unknown</c:v>
                </c:pt>
                <c:pt idx="5">
                  <c:v>Uttar Pradesh</c:v>
                </c:pt>
              </c:strCache>
            </c:strRef>
          </c:cat>
          <c:val>
            <c:numRef>
              <c:f>'Pivot Tables'!$M$19:$M$25</c:f>
              <c:numCache>
                <c:formatCode>General</c:formatCode>
                <c:ptCount val="6"/>
                <c:pt idx="0">
                  <c:v>135</c:v>
                </c:pt>
                <c:pt idx="1">
                  <c:v>133</c:v>
                </c:pt>
                <c:pt idx="2">
                  <c:v>173</c:v>
                </c:pt>
                <c:pt idx="3">
                  <c:v>84</c:v>
                </c:pt>
                <c:pt idx="4">
                  <c:v>31</c:v>
                </c:pt>
                <c:pt idx="5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5-413E-B29A-456B6E5A6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3805727"/>
        <c:axId val="1566937903"/>
      </c:barChart>
      <c:catAx>
        <c:axId val="209380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937903"/>
        <c:crosses val="autoZero"/>
        <c:auto val="1"/>
        <c:lblAlgn val="ctr"/>
        <c:lblOffset val="100"/>
        <c:noMultiLvlLbl val="0"/>
      </c:catAx>
      <c:valAx>
        <c:axId val="156693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80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[ecommerce_sales.csv.xlsx]Pivot Tables!PivotTable5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Tables'!$A$5:$A$13</c:f>
              <c:strCache>
                <c:ptCount val="8"/>
                <c:pt idx="0">
                  <c:v>Bangalore</c:v>
                </c:pt>
                <c:pt idx="1">
                  <c:v>Bangalore </c:v>
                </c:pt>
                <c:pt idx="2">
                  <c:v>Delhi</c:v>
                </c:pt>
                <c:pt idx="3">
                  <c:v>Lucknow</c:v>
                </c:pt>
                <c:pt idx="4">
                  <c:v>Mumbai</c:v>
                </c:pt>
                <c:pt idx="5">
                  <c:v>Mumbai </c:v>
                </c:pt>
                <c:pt idx="6">
                  <c:v>Pune</c:v>
                </c:pt>
                <c:pt idx="7">
                  <c:v>Pune </c:v>
                </c:pt>
              </c:strCache>
            </c:strRef>
          </c:cat>
          <c:val>
            <c:numRef>
              <c:f>'Pivot Tables'!$B$5:$B$13</c:f>
              <c:numCache>
                <c:formatCode>"₹"\ #,##0</c:formatCode>
                <c:ptCount val="8"/>
                <c:pt idx="0">
                  <c:v>25956.5</c:v>
                </c:pt>
                <c:pt idx="1">
                  <c:v>17995.610169491527</c:v>
                </c:pt>
                <c:pt idx="2">
                  <c:v>21184.141891891893</c:v>
                </c:pt>
                <c:pt idx="3">
                  <c:v>14640.109589041096</c:v>
                </c:pt>
                <c:pt idx="4">
                  <c:v>10621.115384615385</c:v>
                </c:pt>
                <c:pt idx="5">
                  <c:v>1070.4285714285713</c:v>
                </c:pt>
                <c:pt idx="6">
                  <c:v>999</c:v>
                </c:pt>
                <c:pt idx="7">
                  <c:v>1016.6470588235294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D-4074-B6A3-CFFA96E2B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0690655"/>
        <c:axId val="1566933103"/>
        <c:axId val="0"/>
      </c:bar3DChart>
      <c:catAx>
        <c:axId val="157069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933103"/>
        <c:crosses val="autoZero"/>
        <c:auto val="1"/>
        <c:lblAlgn val="ctr"/>
        <c:lblOffset val="100"/>
        <c:noMultiLvlLbl val="0"/>
      </c:catAx>
      <c:valAx>
        <c:axId val="15669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9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CCEC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[ecommerce_sales.csv.xlsx]Pivot Tables!PivotTable6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Tables'!$F$4:$F$5</c:f>
              <c:strCache>
                <c:ptCount val="1"/>
                <c:pt idx="0">
                  <c:v>Card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Tables'!$E$6:$E$12</c:f>
              <c:strCache>
                <c:ptCount val="6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Maharastra</c:v>
                </c:pt>
                <c:pt idx="4">
                  <c:v>Unknown</c:v>
                </c:pt>
                <c:pt idx="5">
                  <c:v>Uttar Pradesh</c:v>
                </c:pt>
              </c:strCache>
            </c:strRef>
          </c:cat>
          <c:val>
            <c:numRef>
              <c:f>'Pivot Tables'!$F$6:$F$12</c:f>
              <c:numCache>
                <c:formatCode>General</c:formatCode>
                <c:ptCount val="6"/>
                <c:pt idx="0">
                  <c:v>30</c:v>
                </c:pt>
                <c:pt idx="1">
                  <c:v>24</c:v>
                </c:pt>
                <c:pt idx="2">
                  <c:v>36</c:v>
                </c:pt>
                <c:pt idx="3">
                  <c:v>15</c:v>
                </c:pt>
                <c:pt idx="4">
                  <c:v>5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8-4881-A281-E8B778D943BE}"/>
            </c:ext>
          </c:extLst>
        </c:ser>
        <c:ser>
          <c:idx val="1"/>
          <c:order val="1"/>
          <c:tx>
            <c:strRef>
              <c:f>'Pivot Tables'!$G$4:$G$5</c:f>
              <c:strCache>
                <c:ptCount val="1"/>
                <c:pt idx="0">
                  <c:v>Cash on Delivery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Tables'!$E$6:$E$12</c:f>
              <c:strCache>
                <c:ptCount val="6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Maharastra</c:v>
                </c:pt>
                <c:pt idx="4">
                  <c:v>Unknown</c:v>
                </c:pt>
                <c:pt idx="5">
                  <c:v>Uttar Pradesh</c:v>
                </c:pt>
              </c:strCache>
            </c:strRef>
          </c:cat>
          <c:val>
            <c:numRef>
              <c:f>'Pivot Tables'!$G$6:$G$12</c:f>
              <c:numCache>
                <c:formatCode>General</c:formatCode>
                <c:ptCount val="6"/>
                <c:pt idx="0">
                  <c:v>27</c:v>
                </c:pt>
                <c:pt idx="1">
                  <c:v>26</c:v>
                </c:pt>
                <c:pt idx="2">
                  <c:v>30</c:v>
                </c:pt>
                <c:pt idx="3">
                  <c:v>20</c:v>
                </c:pt>
                <c:pt idx="4">
                  <c:v>4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78-4881-A281-E8B778D943BE}"/>
            </c:ext>
          </c:extLst>
        </c:ser>
        <c:ser>
          <c:idx val="2"/>
          <c:order val="2"/>
          <c:tx>
            <c:strRef>
              <c:f>'Pivot Tables'!$H$4:$H$5</c:f>
              <c:strCache>
                <c:ptCount val="1"/>
                <c:pt idx="0">
                  <c:v>Net Banking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Tables'!$E$6:$E$12</c:f>
              <c:strCache>
                <c:ptCount val="6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Maharastra</c:v>
                </c:pt>
                <c:pt idx="4">
                  <c:v>Unknown</c:v>
                </c:pt>
                <c:pt idx="5">
                  <c:v>Uttar Pradesh</c:v>
                </c:pt>
              </c:strCache>
            </c:strRef>
          </c:cat>
          <c:val>
            <c:numRef>
              <c:f>'Pivot Tables'!$H$6:$H$12</c:f>
              <c:numCache>
                <c:formatCode>General</c:formatCode>
                <c:ptCount val="6"/>
                <c:pt idx="0">
                  <c:v>27</c:v>
                </c:pt>
                <c:pt idx="1">
                  <c:v>22</c:v>
                </c:pt>
                <c:pt idx="2">
                  <c:v>33</c:v>
                </c:pt>
                <c:pt idx="3">
                  <c:v>13</c:v>
                </c:pt>
                <c:pt idx="4">
                  <c:v>9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78-4881-A281-E8B778D943BE}"/>
            </c:ext>
          </c:extLst>
        </c:ser>
        <c:ser>
          <c:idx val="3"/>
          <c:order val="3"/>
          <c:tx>
            <c:strRef>
              <c:f>'Pivot Tables'!$I$4:$I$5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Tables'!$E$6:$E$12</c:f>
              <c:strCache>
                <c:ptCount val="6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Maharastra</c:v>
                </c:pt>
                <c:pt idx="4">
                  <c:v>Unknown</c:v>
                </c:pt>
                <c:pt idx="5">
                  <c:v>Uttar Pradesh</c:v>
                </c:pt>
              </c:strCache>
            </c:strRef>
          </c:cat>
          <c:val>
            <c:numRef>
              <c:f>'Pivot Tables'!$I$6:$I$12</c:f>
              <c:numCache>
                <c:formatCode>General</c:formatCode>
                <c:ptCount val="6"/>
                <c:pt idx="0">
                  <c:v>51</c:v>
                </c:pt>
                <c:pt idx="1">
                  <c:v>61</c:v>
                </c:pt>
                <c:pt idx="2">
                  <c:v>74</c:v>
                </c:pt>
                <c:pt idx="3">
                  <c:v>36</c:v>
                </c:pt>
                <c:pt idx="4">
                  <c:v>13</c:v>
                </c:pt>
                <c:pt idx="5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78-4881-A281-E8B778D94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9666047"/>
        <c:axId val="1566923503"/>
        <c:axId val="0"/>
      </c:bar3DChart>
      <c:catAx>
        <c:axId val="208966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923503"/>
        <c:crosses val="autoZero"/>
        <c:auto val="1"/>
        <c:lblAlgn val="ctr"/>
        <c:lblOffset val="100"/>
        <c:noMultiLvlLbl val="0"/>
      </c:catAx>
      <c:valAx>
        <c:axId val="156692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6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CCEC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[ecommerce_sales.csv.xlsx]Pivot Tables!PivotTable8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Tables'!$M$4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Tables'!$L$5:$L$13</c:f>
              <c:strCache>
                <c:ptCount val="8"/>
                <c:pt idx="0">
                  <c:v>Chair</c:v>
                </c:pt>
                <c:pt idx="1">
                  <c:v>Headphones</c:v>
                </c:pt>
                <c:pt idx="2">
                  <c:v>Jeans</c:v>
                </c:pt>
                <c:pt idx="3">
                  <c:v>Keyboard</c:v>
                </c:pt>
                <c:pt idx="4">
                  <c:v>Lamp</c:v>
                </c:pt>
                <c:pt idx="5">
                  <c:v>Mouse</c:v>
                </c:pt>
                <c:pt idx="6">
                  <c:v>T-Shirt</c:v>
                </c:pt>
                <c:pt idx="7">
                  <c:v>Unknown</c:v>
                </c:pt>
              </c:strCache>
            </c:strRef>
          </c:cat>
          <c:val>
            <c:numRef>
              <c:f>'Pivot Tables'!$M$5:$M$13</c:f>
              <c:numCache>
                <c:formatCode>"₹"\ #,##0</c:formatCode>
                <c:ptCount val="8"/>
                <c:pt idx="0">
                  <c:v>3109785</c:v>
                </c:pt>
                <c:pt idx="1">
                  <c:v>1059139</c:v>
                </c:pt>
                <c:pt idx="2">
                  <c:v>1131181</c:v>
                </c:pt>
                <c:pt idx="3">
                  <c:v>55840</c:v>
                </c:pt>
                <c:pt idx="4">
                  <c:v>111086</c:v>
                </c:pt>
                <c:pt idx="5">
                  <c:v>1061429</c:v>
                </c:pt>
                <c:pt idx="6">
                  <c:v>3129468</c:v>
                </c:pt>
                <c:pt idx="7">
                  <c:v>23375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E-44EA-9B77-D346CC448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9724047"/>
        <c:axId val="1566868303"/>
      </c:lineChart>
      <c:catAx>
        <c:axId val="208972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68303"/>
        <c:crosses val="autoZero"/>
        <c:auto val="1"/>
        <c:lblAlgn val="ctr"/>
        <c:lblOffset val="100"/>
        <c:noMultiLvlLbl val="0"/>
      </c:catAx>
      <c:valAx>
        <c:axId val="156686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72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CCEC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[ecommerce_sales.csv.xlsx]Pivot Tables!PivotTable7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Tables'!$B$18:$B$19</c:f>
              <c:strCache>
                <c:ptCount val="1"/>
                <c:pt idx="0">
                  <c:v>Chair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A82-46C4-9752-1693F4094F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A82-46C4-9752-1693F4094F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A82-46C4-9752-1693F4094F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A82-46C4-9752-1693F4094FD6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Tables'!$B$20:$B$24</c:f>
              <c:numCache>
                <c:formatCode>General</c:formatCode>
                <c:ptCount val="4"/>
                <c:pt idx="0">
                  <c:v>21</c:v>
                </c:pt>
                <c:pt idx="1">
                  <c:v>25</c:v>
                </c:pt>
                <c:pt idx="2">
                  <c:v>19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82-46C4-9752-1693F4094FD6}"/>
            </c:ext>
          </c:extLst>
        </c:ser>
        <c:ser>
          <c:idx val="1"/>
          <c:order val="1"/>
          <c:tx>
            <c:strRef>
              <c:f>'Pivot Tables'!$C$18:$C$19</c:f>
              <c:strCache>
                <c:ptCount val="1"/>
                <c:pt idx="0">
                  <c:v>Headphones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DA82-46C4-9752-1693F4094F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DA82-46C4-9752-1693F4094F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DA82-46C4-9752-1693F4094F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DA82-46C4-9752-1693F4094FD6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Tables'!$C$20:$C$24</c:f>
              <c:numCache>
                <c:formatCode>General</c:formatCode>
                <c:ptCount val="4"/>
                <c:pt idx="0">
                  <c:v>13</c:v>
                </c:pt>
                <c:pt idx="1">
                  <c:v>10</c:v>
                </c:pt>
                <c:pt idx="2">
                  <c:v>15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A82-46C4-9752-1693F4094FD6}"/>
            </c:ext>
          </c:extLst>
        </c:ser>
        <c:ser>
          <c:idx val="2"/>
          <c:order val="2"/>
          <c:tx>
            <c:strRef>
              <c:f>'Pivot Tables'!$D$18:$D$19</c:f>
              <c:strCache>
                <c:ptCount val="1"/>
                <c:pt idx="0">
                  <c:v>Jeans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A82-46C4-9752-1693F4094F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A82-46C4-9752-1693F4094F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A82-46C4-9752-1693F4094F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DA82-46C4-9752-1693F4094FD6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Tables'!$D$20:$D$24</c:f>
              <c:numCache>
                <c:formatCode>General</c:formatCode>
                <c:ptCount val="4"/>
                <c:pt idx="0">
                  <c:v>27</c:v>
                </c:pt>
                <c:pt idx="1">
                  <c:v>23</c:v>
                </c:pt>
                <c:pt idx="2">
                  <c:v>19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A82-46C4-9752-1693F4094FD6}"/>
            </c:ext>
          </c:extLst>
        </c:ser>
        <c:ser>
          <c:idx val="3"/>
          <c:order val="3"/>
          <c:tx>
            <c:strRef>
              <c:f>'Pivot Tables'!$E$18:$E$19</c:f>
              <c:strCache>
                <c:ptCount val="1"/>
                <c:pt idx="0">
                  <c:v>Keyboard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DA82-46C4-9752-1693F4094F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DA82-46C4-9752-1693F4094F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DA82-46C4-9752-1693F4094F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2-DA82-46C4-9752-1693F4094FD6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Tables'!$E$20:$E$24</c:f>
              <c:numCache>
                <c:formatCode>General</c:formatCode>
                <c:ptCount val="4"/>
                <c:pt idx="0">
                  <c:v>10</c:v>
                </c:pt>
                <c:pt idx="1">
                  <c:v>14</c:v>
                </c:pt>
                <c:pt idx="2">
                  <c:v>6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A82-46C4-9752-1693F4094FD6}"/>
            </c:ext>
          </c:extLst>
        </c:ser>
        <c:ser>
          <c:idx val="4"/>
          <c:order val="4"/>
          <c:tx>
            <c:strRef>
              <c:f>'Pivot Tables'!$F$18:$F$19</c:f>
              <c:strCache>
                <c:ptCount val="1"/>
                <c:pt idx="0">
                  <c:v>Lamp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DA82-46C4-9752-1693F4094F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DA82-46C4-9752-1693F4094F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DA82-46C4-9752-1693F4094F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DA82-46C4-9752-1693F4094FD6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Tables'!$F$20:$F$24</c:f>
              <c:numCache>
                <c:formatCode>General</c:formatCode>
                <c:ptCount val="4"/>
                <c:pt idx="0">
                  <c:v>23</c:v>
                </c:pt>
                <c:pt idx="1">
                  <c:v>25</c:v>
                </c:pt>
                <c:pt idx="2">
                  <c:v>20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A82-46C4-9752-1693F4094FD6}"/>
            </c:ext>
          </c:extLst>
        </c:ser>
        <c:ser>
          <c:idx val="5"/>
          <c:order val="5"/>
          <c:tx>
            <c:strRef>
              <c:f>'Pivot Tables'!$G$18:$G$19</c:f>
              <c:strCache>
                <c:ptCount val="1"/>
                <c:pt idx="0">
                  <c:v>Mouse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E-DA82-46C4-9752-1693F4094F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0-DA82-46C4-9752-1693F4094F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2-DA82-46C4-9752-1693F4094F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4-DA82-46C4-9752-1693F4094FD6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Tables'!$G$20:$G$24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18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DA82-46C4-9752-1693F4094FD6}"/>
            </c:ext>
          </c:extLst>
        </c:ser>
        <c:ser>
          <c:idx val="6"/>
          <c:order val="6"/>
          <c:tx>
            <c:strRef>
              <c:f>'Pivot Tables'!$H$18:$H$19</c:f>
              <c:strCache>
                <c:ptCount val="1"/>
                <c:pt idx="0">
                  <c:v>T-Shirt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DA82-46C4-9752-1693F4094F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DA82-46C4-9752-1693F4094F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DA82-46C4-9752-1693F4094F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DA82-46C4-9752-1693F4094FD6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Tables'!$H$20:$H$24</c:f>
              <c:numCache>
                <c:formatCode>General</c:formatCode>
                <c:ptCount val="4"/>
                <c:pt idx="0">
                  <c:v>29</c:v>
                </c:pt>
                <c:pt idx="1">
                  <c:v>17</c:v>
                </c:pt>
                <c:pt idx="2">
                  <c:v>31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DA82-46C4-9752-1693F4094FD6}"/>
            </c:ext>
          </c:extLst>
        </c:ser>
        <c:ser>
          <c:idx val="7"/>
          <c:order val="7"/>
          <c:tx>
            <c:strRef>
              <c:f>'Pivot Tables'!$I$18:$I$19</c:f>
              <c:strCache>
                <c:ptCount val="1"/>
                <c:pt idx="0">
                  <c:v>Unknown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0-DA82-46C4-9752-1693F4094F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2-DA82-46C4-9752-1693F4094F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4-DA82-46C4-9752-1693F4094F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6-DA82-46C4-9752-1693F4094FD6}"/>
              </c:ext>
            </c:extLst>
          </c:dPt>
          <c:cat>
            <c:strRef>
              <c:f>'Pivot Tables'!$A$20:$A$24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Net Banking</c:v>
                </c:pt>
                <c:pt idx="3">
                  <c:v>Unknown</c:v>
                </c:pt>
              </c:strCache>
            </c:strRef>
          </c:cat>
          <c:val>
            <c:numRef>
              <c:f>'Pivot Tables'!$I$20:$I$24</c:f>
              <c:numCache>
                <c:formatCode>General</c:formatCode>
                <c:ptCount val="4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DA82-46C4-9752-1693F4094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CCEC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[ecommerce_sales.csv.xlsx]Pivot Tables!PivotTable9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Tables'!$M$18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Tables'!$L$19:$L$25</c:f>
              <c:strCache>
                <c:ptCount val="6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Maharastra</c:v>
                </c:pt>
                <c:pt idx="4">
                  <c:v>Unknown</c:v>
                </c:pt>
                <c:pt idx="5">
                  <c:v>Uttar Pradesh</c:v>
                </c:pt>
              </c:strCache>
            </c:strRef>
          </c:cat>
          <c:val>
            <c:numRef>
              <c:f>'Pivot Tables'!$M$19:$M$25</c:f>
              <c:numCache>
                <c:formatCode>General</c:formatCode>
                <c:ptCount val="6"/>
                <c:pt idx="0">
                  <c:v>135</c:v>
                </c:pt>
                <c:pt idx="1">
                  <c:v>133</c:v>
                </c:pt>
                <c:pt idx="2">
                  <c:v>173</c:v>
                </c:pt>
                <c:pt idx="3">
                  <c:v>84</c:v>
                </c:pt>
                <c:pt idx="4">
                  <c:v>31</c:v>
                </c:pt>
                <c:pt idx="5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B-4D33-A96A-5EBD9C3EB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3805727"/>
        <c:axId val="1566937903"/>
      </c:barChart>
      <c:catAx>
        <c:axId val="209380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937903"/>
        <c:crosses val="autoZero"/>
        <c:auto val="1"/>
        <c:lblAlgn val="ctr"/>
        <c:lblOffset val="100"/>
        <c:noMultiLvlLbl val="0"/>
      </c:catAx>
      <c:valAx>
        <c:axId val="156693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80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CCEC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8.xml"/><Relationship Id="rId7" Type="http://schemas.openxmlformats.org/officeDocument/2006/relationships/image" Target="../media/image2.sv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152400</xdr:rowOff>
    </xdr:from>
    <xdr:to>
      <xdr:col>6</xdr:col>
      <xdr:colOff>205740</xdr:colOff>
      <xdr:row>12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3C0F21-1B23-48A0-B658-5488B3768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243840</xdr:colOff>
      <xdr:row>1</xdr:row>
      <xdr:rowOff>7620</xdr:rowOff>
    </xdr:from>
    <xdr:to>
      <xdr:col>13</xdr:col>
      <xdr:colOff>160020</xdr:colOff>
      <xdr:row>12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73CC03-FE26-47B3-9EEE-7EF163DC5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342900</xdr:colOff>
      <xdr:row>1</xdr:row>
      <xdr:rowOff>7620</xdr:rowOff>
    </xdr:from>
    <xdr:to>
      <xdr:col>21</xdr:col>
      <xdr:colOff>426720</xdr:colOff>
      <xdr:row>15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DDAAB6-5C41-4074-9089-2CE1594DD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</xdr:colOff>
      <xdr:row>13</xdr:row>
      <xdr:rowOff>53340</xdr:rowOff>
    </xdr:from>
    <xdr:to>
      <xdr:col>6</xdr:col>
      <xdr:colOff>594360</xdr:colOff>
      <xdr:row>25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0FF58F-581F-4789-BED2-5B8F95598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198120</xdr:colOff>
      <xdr:row>13</xdr:row>
      <xdr:rowOff>0</xdr:rowOff>
    </xdr:from>
    <xdr:to>
      <xdr:col>14</xdr:col>
      <xdr:colOff>182880</xdr:colOff>
      <xdr:row>25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89A00C-9EC4-440E-BD6D-141083FF0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355600</xdr:colOff>
      <xdr:row>0</xdr:row>
      <xdr:rowOff>5134</xdr:rowOff>
    </xdr:from>
    <xdr:to>
      <xdr:col>19</xdr:col>
      <xdr:colOff>558800</xdr:colOff>
      <xdr:row>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D3CA32-F971-EAC7-7071-CED381CBD9F0}"/>
            </a:ext>
          </a:extLst>
        </xdr:cNvPr>
        <xdr:cNvSpPr txBox="1"/>
      </xdr:nvSpPr>
      <xdr:spPr>
        <a:xfrm>
          <a:off x="4013200" y="5134"/>
          <a:ext cx="8128000" cy="7399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>
              <a:latin typeface="Bahnschrift SemiBold SemiConden" panose="020B0502040204020203" pitchFamily="34" charset="0"/>
            </a:rPr>
            <a:t>E-COMMERCE SALES</a:t>
          </a:r>
          <a:r>
            <a:rPr lang="en-IN" sz="3600" baseline="0">
              <a:latin typeface="Bahnschrift SemiBold SemiConden" panose="020B0502040204020203" pitchFamily="34" charset="0"/>
            </a:rPr>
            <a:t> DASHBOARD</a:t>
          </a:r>
        </a:p>
      </xdr:txBody>
    </xdr:sp>
    <xdr:clientData/>
  </xdr:twoCellAnchor>
  <xdr:twoCellAnchor>
    <xdr:from>
      <xdr:col>17</xdr:col>
      <xdr:colOff>551283</xdr:colOff>
      <xdr:row>4</xdr:row>
      <xdr:rowOff>137275</xdr:rowOff>
    </xdr:from>
    <xdr:to>
      <xdr:col>25</xdr:col>
      <xdr:colOff>601133</xdr:colOff>
      <xdr:row>30</xdr:row>
      <xdr:rowOff>16933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94C733-937F-4D65-A007-D5D1D672F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17123</xdr:colOff>
      <xdr:row>4</xdr:row>
      <xdr:rowOff>128426</xdr:rowOff>
    </xdr:from>
    <xdr:to>
      <xdr:col>7</xdr:col>
      <xdr:colOff>513707</xdr:colOff>
      <xdr:row>16</xdr:row>
      <xdr:rowOff>143933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FF2F18-0A32-4938-B0BC-CA5F5A7A7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590764</xdr:colOff>
      <xdr:row>17</xdr:row>
      <xdr:rowOff>120333</xdr:rowOff>
    </xdr:from>
    <xdr:to>
      <xdr:col>16</xdr:col>
      <xdr:colOff>541867</xdr:colOff>
      <xdr:row>30</xdr:row>
      <xdr:rowOff>33868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DEC6CD-CAB7-43EC-BEE3-E350C7AA0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</xdr:colOff>
      <xdr:row>4</xdr:row>
      <xdr:rowOff>136989</xdr:rowOff>
    </xdr:from>
    <xdr:to>
      <xdr:col>16</xdr:col>
      <xdr:colOff>524933</xdr:colOff>
      <xdr:row>16</xdr:row>
      <xdr:rowOff>160867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CA98F1-4875-4BCB-BB30-A97D7FF16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17</xdr:row>
      <xdr:rowOff>128797</xdr:rowOff>
    </xdr:from>
    <xdr:to>
      <xdr:col>7</xdr:col>
      <xdr:colOff>505147</xdr:colOff>
      <xdr:row>29</xdr:row>
      <xdr:rowOff>177798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63F81F-A974-47BB-AA26-B358567B0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169333</xdr:colOff>
      <xdr:row>0</xdr:row>
      <xdr:rowOff>0</xdr:rowOff>
    </xdr:from>
    <xdr:to>
      <xdr:col>19</xdr:col>
      <xdr:colOff>364066</xdr:colOff>
      <xdr:row>4</xdr:row>
      <xdr:rowOff>59266</xdr:rowOff>
    </xdr:to>
    <xdr:pic>
      <xdr:nvPicPr>
        <xdr:cNvPr id="9" name="Graphic 8" descr="Handshake with solid fill">
          <a:extLst>
            <a:ext uri="{FF2B5EF4-FFF2-40B4-BE49-F238E27FC236}">
              <a16:creationId xmlns:a16="http://schemas.microsoft.com/office/drawing/2014/main" id="{1BED9C61-CACB-558F-7DDA-89208BFFD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1142133" y="0"/>
          <a:ext cx="804333" cy="804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</xdr:rowOff>
    </xdr:from>
    <xdr:to>
      <xdr:col>4</xdr:col>
      <xdr:colOff>482600</xdr:colOff>
      <xdr:row>2</xdr:row>
      <xdr:rowOff>59268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FE3ACE1-3CD3-1D6D-66FA-A4EAC60A48C4}"/>
            </a:ext>
          </a:extLst>
        </xdr:cNvPr>
        <xdr:cNvSpPr txBox="1"/>
      </xdr:nvSpPr>
      <xdr:spPr>
        <a:xfrm>
          <a:off x="0" y="1"/>
          <a:ext cx="2921000" cy="43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1" algn="ctr"/>
          <a:r>
            <a:rPr lang="en-IN" sz="1800" i="1"/>
            <a:t>An ISO</a:t>
          </a:r>
          <a:r>
            <a:rPr lang="en-IN" sz="1800" i="1" baseline="0"/>
            <a:t> certified company</a:t>
          </a:r>
          <a:endParaRPr lang="en-IN" sz="1800" i="1"/>
        </a:p>
      </xdr:txBody>
    </xdr:sp>
    <xdr:clientData/>
  </xdr:twoCellAnchor>
  <xdr:twoCellAnchor editAs="oneCell">
    <xdr:from>
      <xdr:col>0</xdr:col>
      <xdr:colOff>42333</xdr:colOff>
      <xdr:row>0</xdr:row>
      <xdr:rowOff>0</xdr:rowOff>
    </xdr:from>
    <xdr:to>
      <xdr:col>0</xdr:col>
      <xdr:colOff>508000</xdr:colOff>
      <xdr:row>2</xdr:row>
      <xdr:rowOff>93134</xdr:rowOff>
    </xdr:to>
    <xdr:pic>
      <xdr:nvPicPr>
        <xdr:cNvPr id="12" name="Graphic 11" descr="Ribbon with solid fill">
          <a:extLst>
            <a:ext uri="{FF2B5EF4-FFF2-40B4-BE49-F238E27FC236}">
              <a16:creationId xmlns:a16="http://schemas.microsoft.com/office/drawing/2014/main" id="{D1F23811-072E-61BF-943E-10EC3EF13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2333" y="0"/>
          <a:ext cx="465667" cy="46566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REENA ANTONY" refreshedDate="46302.08974826389" createdVersion="8" refreshedVersion="8" minRefreshableVersion="3" recordCount="700" xr:uid="{FCD190B5-8B38-4185-8122-E210BA56ADA5}">
  <cacheSource type="worksheet">
    <worksheetSource name="Table1"/>
  </cacheSource>
  <cacheFields count="15">
    <cacheField name="Order ID" numFmtId="0">
      <sharedItems containsSemiMixedTypes="0" containsString="0" containsNumber="1" containsInteger="1" minValue="10001" maxValue="10700"/>
    </cacheField>
    <cacheField name="Order date" numFmtId="14">
      <sharedItems containsDate="1" containsMixedTypes="1" minDate="2025-01-01T00:00:00" maxDate="2025-12-07T00:00:00" count="204">
        <d v="2025-01-05T00:00:00"/>
        <d v="2025-06-01T00:00:00"/>
        <d v="2025-01-16T00:00:00"/>
        <d v="2025-05-10T00:00:00"/>
        <d v="2025-05-15T00:00:00"/>
        <d v="2025-03-22T00:00:00"/>
        <s v="02/18/2025"/>
        <d v="2025-03-21T00:00:00"/>
        <d v="2025-06-23T00:00:00"/>
        <d v="2025-02-15T00:00:00"/>
        <d v="2025-04-08T00:00:00"/>
        <d v="2025-04-28T00:00:00"/>
        <d v="2025-02-26T00:00:00"/>
        <d v="2025-04-11T00:00:00"/>
        <d v="2025-02-14T00:00:00"/>
        <d v="2025-03-12T00:00:00"/>
        <d v="2025-06-02T00:00:00"/>
        <d v="2025-03-29T00:00:00"/>
        <d v="2025-03-11T00:00:00"/>
        <d v="2025-07-01T00:00:00"/>
        <d v="2025-03-13T00:00:00"/>
        <d v="2025-05-24T00:00:00"/>
        <d v="2025-03-17T00:00:00"/>
        <d v="2025-03-16T00:00:00"/>
        <d v="2025-03-30T00:00:00"/>
        <d v="2025-04-25T00:00:00"/>
        <d v="2025-08-04T00:00:00"/>
        <d v="2025-01-06T00:00:00"/>
        <d v="2025-05-21T00:00:00"/>
        <d v="2025-03-19T00:00:00"/>
        <d v="2025-05-31T00:00:00"/>
        <d v="2025-03-31T00:00:00"/>
        <d v="2025-05-22T00:00:00"/>
        <d v="2025-03-24T00:00:00"/>
        <d v="2025-01-22T00:00:00"/>
        <d v="2025-01-29T00:00:00"/>
        <d v="2025-03-09T00:00:00"/>
        <d v="2025-04-30T00:00:00"/>
        <d v="2025-06-21T00:00:00"/>
        <d v="2025-03-02T00:00:00"/>
        <d v="2025-03-23T00:00:00"/>
        <d v="2025-02-27T00:00:00"/>
        <d v="2025-03-25T00:00:00"/>
        <d v="2025-04-09T00:00:00"/>
        <d v="2025-06-26T00:00:00"/>
        <d v="2025-02-28T00:00:00"/>
        <d v="2025-05-07T00:00:00"/>
        <d v="2025-05-04T00:00:00"/>
        <d v="2025-02-23T00:00:00"/>
        <d v="2025-06-27T00:00:00"/>
        <d v="2025-05-17T00:00:00"/>
        <d v="2025-04-24T00:00:00"/>
        <d v="2025-01-04T00:00:00"/>
        <d v="2025-02-16T00:00:00"/>
        <d v="2025-05-12T00:00:00"/>
        <d v="2025-02-25T00:00:00"/>
        <d v="2025-04-05T00:00:00"/>
        <d v="2025-08-03T00:00:00"/>
        <d v="2025-06-20T00:00:00"/>
        <d v="2025-04-23T00:00:00"/>
        <d v="2025-06-15T00:00:00"/>
        <d v="2025-03-06T00:00:00"/>
        <d v="2025-04-13T00:00:00"/>
        <d v="2025-06-10T00:00:00"/>
        <d v="2025-06-09T00:00:00"/>
        <d v="2025-06-06T00:00:00"/>
        <d v="2025-04-29T00:00:00"/>
        <d v="2025-01-27T00:00:00"/>
        <d v="2025-02-18T00:00:00"/>
        <d v="2025-05-14T00:00:00"/>
        <d v="2025-01-02T00:00:00"/>
        <d v="2025-02-24T00:00:00"/>
        <d v="2025-03-20T00:00:00"/>
        <d v="2025-04-19T00:00:00"/>
        <d v="2025-02-10T00:00:00"/>
        <d v="2025-06-16T00:00:00"/>
        <d v="2025-01-30T00:00:00"/>
        <d v="2025-12-02T00:00:00"/>
        <d v="2025-03-08T00:00:00"/>
        <d v="2025-01-31T00:00:00"/>
        <d v="2025-02-01T00:00:00"/>
        <d v="2025-06-14T00:00:00"/>
        <d v="2025-06-17T00:00:00"/>
        <d v="2025-06-25T00:00:00"/>
        <d v="2025-04-27T00:00:00"/>
        <d v="2025-02-22T00:00:00"/>
        <d v="2025-01-21T00:00:00"/>
        <d v="2025-06-11T00:00:00"/>
        <d v="2025-10-03T00:00:00"/>
        <d v="2025-01-20T00:00:00"/>
        <d v="2025-05-06T00:00:00"/>
        <d v="2025-05-30T00:00:00"/>
        <d v="2025-03-05T00:00:00"/>
        <d v="2025-05-05T00:00:00"/>
        <d v="2025-05-08T00:00:00"/>
        <d v="2025-06-24T00:00:00"/>
        <d v="2025-05-02T00:00:00"/>
        <d v="2025-02-19T00:00:00"/>
        <d v="2025-05-28T00:00:00"/>
        <d v="2025-05-27T00:00:00"/>
        <d v="2025-06-04T00:00:00"/>
        <d v="2025-05-23T00:00:00"/>
        <d v="2025-06-29T00:00:00"/>
        <d v="2025-01-28T00:00:00"/>
        <d v="2025-02-05T00:00:00"/>
        <d v="2025-04-06T00:00:00"/>
        <d v="2025-04-10T00:00:00"/>
        <d v="2025-01-12T00:00:00"/>
        <d v="2025-06-28T00:00:00"/>
        <d v="2025-03-10T00:00:00"/>
        <d v="2025-01-17T00:00:00"/>
        <d v="2025-04-14T00:00:00"/>
        <d v="2025-03-26T00:00:00"/>
        <d v="2025-05-16T00:00:00"/>
        <d v="2025-01-09T00:00:00"/>
        <d v="2025-05-09T00:00:00"/>
        <d v="2025-01-01T00:00:00"/>
        <d v="2025-01-26T00:00:00"/>
        <d v="2025-03-27T00:00:00"/>
        <d v="2025-03-15T00:00:00"/>
        <d v="2025-03-18T00:00:00"/>
        <d v="2025-04-20T00:00:00"/>
        <d v="2025-03-28T00:00:00"/>
        <d v="2025-01-07T00:00:00"/>
        <d v="2025-11-01T00:00:00"/>
        <d v="2025-03-01T00:00:00"/>
        <d v="2025-10-05T00:00:00"/>
        <d v="2025-06-08T00:00:00"/>
        <d v="2025-02-02T00:00:00"/>
        <d v="2025-02-06T00:00:00"/>
        <d v="2025-05-26T00:00:00"/>
        <d v="2025-01-18T00:00:00"/>
        <d v="2025-04-03T00:00:00"/>
        <d v="2025-02-20T00:00:00"/>
        <d v="2025-02-17T00:00:00"/>
        <d v="2025-04-04T00:00:00"/>
        <d v="2025-06-07T00:00:00"/>
        <d v="2025-05-19T00:00:00"/>
        <d v="2025-05-03T00:00:00"/>
        <d v="2025-06-03T00:00:00"/>
        <d v="2025-04-22T00:00:00"/>
        <d v="2025-01-19T00:00:00"/>
        <d v="2025-04-15T00:00:00"/>
        <d v="2025-04-21T00:00:00"/>
        <d v="2025-05-13T00:00:00"/>
        <d v="2025-03-07T00:00:00"/>
        <d v="2025-01-10T00:00:00"/>
        <d v="2025-01-23T00:00:00"/>
        <d v="2025-04-17T00:00:00"/>
        <d v="2025-06-13T00:00:00"/>
        <d v="2025-02-12T00:00:00"/>
        <d v="2025-05-18T00:00:00"/>
        <d v="2025-01-15T00:00:00"/>
        <d v="2025-02-03T00:00:00"/>
        <d v="2025-01-24T00:00:00"/>
        <d v="2025-06-12T00:00:00"/>
        <d v="2025-12-01T00:00:00"/>
        <d v="2025-04-07T00:00:00"/>
        <d v="2025-03-14T00:00:00"/>
        <d v="2025-08-02T00:00:00"/>
        <s v="03/20/2025"/>
        <d v="2025-02-09T00:00:00"/>
        <d v="2025-04-01T00:00:00"/>
        <d v="2025-06-18T00:00:00"/>
        <d v="2025-05-20T00:00:00"/>
        <d v="2025-08-01T00:00:00"/>
        <d v="2025-12-04T00:00:00"/>
        <d v="2025-01-13T00:00:00"/>
        <d v="2025-01-14T00:00:00"/>
        <d v="2025-03-04T00:00:00"/>
        <d v="2025-02-04T00:00:00"/>
        <d v="2025-02-08T00:00:00"/>
        <d v="2025-09-05T00:00:00"/>
        <d v="2025-01-11T00:00:00"/>
        <d v="2025-02-21T00:00:00"/>
        <d v="2025-04-12T00:00:00"/>
        <d v="2025-01-03T00:00:00"/>
        <d v="2025-05-11T00:00:00"/>
        <d v="2025-02-07T00:00:00"/>
        <d v="2025-02-13T00:00:00"/>
        <d v="2025-01-08T00:00:00"/>
        <d v="2025-03-03T00:00:00"/>
        <d v="2025-11-06T00:00:00"/>
        <d v="2025-01-25T00:00:00"/>
        <d v="2025-07-04T00:00:00"/>
        <d v="2025-10-01T00:00:00"/>
        <d v="2025-02-11T00:00:00"/>
        <d v="2025-06-05T00:00:00"/>
        <d v="2025-09-03T00:00:00"/>
        <d v="2025-04-18T00:00:00"/>
        <d v="2025-12-06T00:00:00"/>
        <d v="2025-11-02T00:00:00"/>
        <d v="2025-04-16T00:00:00"/>
        <d v="2025-05-01T00:00:00"/>
        <d v="2025-05-25T00:00:00"/>
        <d v="2025-05-29T00:00:00"/>
        <d v="2025-07-05T00:00:00"/>
        <d v="2025-04-26T00:00:00"/>
        <d v="2025-06-19T00:00:00"/>
        <d v="2025-12-03T00:00:00"/>
        <d v="2025-04-02T00:00:00"/>
        <d v="2025-09-06T00:00:00"/>
        <d v="2025-06-22T00:00:00"/>
        <d v="2025-10-02T00:00:00"/>
      </sharedItems>
    </cacheField>
    <cacheField name="Customer ID" numFmtId="0">
      <sharedItems/>
    </cacheField>
    <cacheField name="Customer Name" numFmtId="0">
      <sharedItems/>
    </cacheField>
    <cacheField name="City" numFmtId="0">
      <sharedItems count="8">
        <s v="Delhi"/>
        <s v="Bangalore"/>
        <s v="Mumbai"/>
        <s v="Pune"/>
        <s v="Bangalore "/>
        <s v="Lucknow"/>
        <s v="Pune "/>
        <s v="Mumbai "/>
      </sharedItems>
    </cacheField>
    <cacheField name="State" numFmtId="0">
      <sharedItems containsBlank="1" count="6">
        <s v="Delhi"/>
        <s v="Karnataka"/>
        <s v="Maharashtra"/>
        <m/>
        <s v="Maharastra"/>
        <s v="Uttar Pradesh"/>
      </sharedItems>
    </cacheField>
    <cacheField name="State  replaced" numFmtId="0">
      <sharedItems count="6">
        <s v="Delhi"/>
        <s v="Karnataka"/>
        <s v="Maharashtra"/>
        <s v="Unknown"/>
        <s v="Maharastra"/>
        <s v="Uttar Pradesh"/>
      </sharedItems>
    </cacheField>
    <cacheField name="Category" numFmtId="0">
      <sharedItems count="4">
        <s v="Fashion"/>
        <s v="Home"/>
        <s v="Electronics"/>
        <s v="Electornics"/>
      </sharedItems>
    </cacheField>
    <cacheField name="Product" numFmtId="0">
      <sharedItems containsBlank="1" count="8">
        <s v="T-Shirt"/>
        <s v="Chair"/>
        <s v="Lamp"/>
        <s v="Headphones"/>
        <s v="Jeans"/>
        <m/>
        <s v="Mouse"/>
        <s v="Keyboard"/>
      </sharedItems>
    </cacheField>
    <cacheField name="Product replaced" numFmtId="0">
      <sharedItems count="8">
        <s v="T-Shirt"/>
        <s v="Chair"/>
        <s v="Lamp"/>
        <s v="Headphones"/>
        <s v="Jeans"/>
        <s v="Unknown"/>
        <s v="Mouse"/>
        <s v="Keyboard"/>
      </sharedItems>
    </cacheField>
    <cacheField name="Quantity" numFmtId="0">
      <sharedItems containsSemiMixedTypes="0" containsString="0" containsNumber="1" containsInteger="1" minValue="-2" maxValue="999" count="8">
        <n v="4"/>
        <n v="2"/>
        <n v="1"/>
        <n v="5"/>
        <n v="3"/>
        <n v="999"/>
        <n v="-2"/>
        <n v="0"/>
      </sharedItems>
    </cacheField>
    <cacheField name="Unit price" numFmtId="165">
      <sharedItems containsSemiMixedTypes="0" containsString="0" containsNumber="1" containsInteger="1" minValue="-100" maxValue="999999"/>
    </cacheField>
    <cacheField name="Payment method" numFmtId="0">
      <sharedItems containsBlank="1"/>
    </cacheField>
    <cacheField name="Payment method replaced" numFmtId="0">
      <sharedItems count="4">
        <s v="Net Banking"/>
        <s v="Cash on Delivery"/>
        <s v="Unknown"/>
        <s v="Card"/>
      </sharedItems>
    </cacheField>
    <cacheField name="Order status" numFmtId="0">
      <sharedItems/>
    </cacheField>
  </cacheFields>
  <extLst>
    <ext xmlns:x14="http://schemas.microsoft.com/office/spreadsheetml/2009/9/main" uri="{725AE2AE-9491-48be-B2B4-4EB974FC3084}">
      <x14:pivotCacheDefinition pivotCacheId="20809997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10001"/>
    <x v="0"/>
    <s v="C1200"/>
    <s v="Sneha"/>
    <x v="0"/>
    <x v="0"/>
    <x v="0"/>
    <x v="0"/>
    <x v="0"/>
    <x v="0"/>
    <x v="0"/>
    <n v="799"/>
    <s v="Net Banking"/>
    <x v="0"/>
    <s v="Cancelled"/>
  </r>
  <r>
    <n v="10002"/>
    <x v="1"/>
    <s v="C1100"/>
    <s v="Neha"/>
    <x v="1"/>
    <x v="1"/>
    <x v="1"/>
    <x v="1"/>
    <x v="1"/>
    <x v="1"/>
    <x v="1"/>
    <n v="299"/>
    <s v="Cash on Delivery"/>
    <x v="1"/>
    <s v="Shipped"/>
  </r>
  <r>
    <n v="10003"/>
    <x v="2"/>
    <s v="C1125"/>
    <s v="Priya"/>
    <x v="2"/>
    <x v="2"/>
    <x v="2"/>
    <x v="1"/>
    <x v="2"/>
    <x v="2"/>
    <x v="2"/>
    <n v="799"/>
    <m/>
    <x v="2"/>
    <s v="Delivered"/>
  </r>
  <r>
    <n v="10004"/>
    <x v="3"/>
    <s v="C1128"/>
    <s v="Karan"/>
    <x v="0"/>
    <x v="0"/>
    <x v="0"/>
    <x v="2"/>
    <x v="3"/>
    <x v="3"/>
    <x v="2"/>
    <n v="499"/>
    <s v="Cash on Delivery"/>
    <x v="1"/>
    <s v="Cancelled"/>
  </r>
  <r>
    <n v="10005"/>
    <x v="4"/>
    <s v="C1040"/>
    <s v="Amit"/>
    <x v="2"/>
    <x v="2"/>
    <x v="2"/>
    <x v="0"/>
    <x v="4"/>
    <x v="4"/>
    <x v="3"/>
    <n v="499"/>
    <m/>
    <x v="2"/>
    <s v="Delivered"/>
  </r>
  <r>
    <n v="10006"/>
    <x v="5"/>
    <s v="C1095"/>
    <s v="Karan"/>
    <x v="0"/>
    <x v="0"/>
    <x v="0"/>
    <x v="1"/>
    <x v="1"/>
    <x v="1"/>
    <x v="0"/>
    <n v="1999"/>
    <s v="Card"/>
    <x v="3"/>
    <s v="Delivered"/>
  </r>
  <r>
    <n v="10007"/>
    <x v="6"/>
    <s v="C1068"/>
    <s v="Karan"/>
    <x v="0"/>
    <x v="3"/>
    <x v="3"/>
    <x v="2"/>
    <x v="3"/>
    <x v="3"/>
    <x v="2"/>
    <n v="799"/>
    <m/>
    <x v="2"/>
    <s v="Shipped"/>
  </r>
  <r>
    <n v="10008"/>
    <x v="7"/>
    <s v="C1198"/>
    <s v="Karan"/>
    <x v="1"/>
    <x v="1"/>
    <x v="1"/>
    <x v="1"/>
    <x v="5"/>
    <x v="5"/>
    <x v="0"/>
    <n v="1299"/>
    <s v="Cash on Delivery"/>
    <x v="1"/>
    <s v="Cancelled"/>
  </r>
  <r>
    <n v="10009"/>
    <x v="8"/>
    <s v="C1084"/>
    <s v="Priya"/>
    <x v="2"/>
    <x v="3"/>
    <x v="3"/>
    <x v="0"/>
    <x v="4"/>
    <x v="4"/>
    <x v="3"/>
    <n v="1299"/>
    <m/>
    <x v="2"/>
    <s v="Delivered"/>
  </r>
  <r>
    <n v="10010"/>
    <x v="9"/>
    <s v="C1015"/>
    <s v="Sneha"/>
    <x v="2"/>
    <x v="2"/>
    <x v="2"/>
    <x v="2"/>
    <x v="3"/>
    <x v="3"/>
    <x v="0"/>
    <n v="299"/>
    <s v="Card"/>
    <x v="3"/>
    <s v="Delivered"/>
  </r>
  <r>
    <n v="10011"/>
    <x v="10"/>
    <s v="C1184"/>
    <s v="Sneha"/>
    <x v="3"/>
    <x v="4"/>
    <x v="4"/>
    <x v="2"/>
    <x v="6"/>
    <x v="6"/>
    <x v="4"/>
    <n v="299"/>
    <m/>
    <x v="2"/>
    <s v="Shipped"/>
  </r>
  <r>
    <n v="10012"/>
    <x v="11"/>
    <s v="C1137"/>
    <s v="Anjali"/>
    <x v="3"/>
    <x v="4"/>
    <x v="4"/>
    <x v="2"/>
    <x v="6"/>
    <x v="6"/>
    <x v="3"/>
    <n v="1999"/>
    <m/>
    <x v="2"/>
    <s v="Shipped"/>
  </r>
  <r>
    <n v="10013"/>
    <x v="5"/>
    <s v="C1022"/>
    <s v="Neha"/>
    <x v="0"/>
    <x v="0"/>
    <x v="0"/>
    <x v="0"/>
    <x v="0"/>
    <x v="0"/>
    <x v="2"/>
    <n v="799"/>
    <s v="Net Banking"/>
    <x v="0"/>
    <s v="Delivered"/>
  </r>
  <r>
    <n v="10014"/>
    <x v="12"/>
    <s v="C1156"/>
    <s v="Neha"/>
    <x v="4"/>
    <x v="1"/>
    <x v="1"/>
    <x v="3"/>
    <x v="6"/>
    <x v="6"/>
    <x v="4"/>
    <n v="1999"/>
    <m/>
    <x v="2"/>
    <s v="Shipped"/>
  </r>
  <r>
    <n v="10015"/>
    <x v="13"/>
    <s v="C1127"/>
    <s v="Rahul"/>
    <x v="5"/>
    <x v="5"/>
    <x v="5"/>
    <x v="1"/>
    <x v="1"/>
    <x v="1"/>
    <x v="3"/>
    <n v="1299"/>
    <m/>
    <x v="2"/>
    <s v="Shipped"/>
  </r>
  <r>
    <n v="10016"/>
    <x v="14"/>
    <s v="C1097"/>
    <s v="Amit"/>
    <x v="5"/>
    <x v="5"/>
    <x v="5"/>
    <x v="0"/>
    <x v="4"/>
    <x v="4"/>
    <x v="2"/>
    <n v="499"/>
    <s v="Card"/>
    <x v="3"/>
    <s v="Cancelled"/>
  </r>
  <r>
    <n v="10017"/>
    <x v="15"/>
    <s v="C1179"/>
    <s v="Amit"/>
    <x v="5"/>
    <x v="5"/>
    <x v="5"/>
    <x v="1"/>
    <x v="2"/>
    <x v="2"/>
    <x v="1"/>
    <n v="299"/>
    <s v="Net Banking"/>
    <x v="0"/>
    <s v="Delivered"/>
  </r>
  <r>
    <n v="10018"/>
    <x v="16"/>
    <s v="C1097"/>
    <s v="Priya"/>
    <x v="2"/>
    <x v="2"/>
    <x v="2"/>
    <x v="2"/>
    <x v="6"/>
    <x v="6"/>
    <x v="3"/>
    <n v="299"/>
    <m/>
    <x v="2"/>
    <s v="Delivered"/>
  </r>
  <r>
    <n v="10019"/>
    <x v="17"/>
    <s v="C1168"/>
    <s v="Neha"/>
    <x v="1"/>
    <x v="1"/>
    <x v="1"/>
    <x v="2"/>
    <x v="3"/>
    <x v="3"/>
    <x v="1"/>
    <n v="1999"/>
    <s v="Cash on Delivery"/>
    <x v="1"/>
    <s v="Cancelled"/>
  </r>
  <r>
    <n v="10020"/>
    <x v="18"/>
    <s v="C1194"/>
    <s v="Rahul"/>
    <x v="5"/>
    <x v="5"/>
    <x v="5"/>
    <x v="2"/>
    <x v="7"/>
    <x v="7"/>
    <x v="2"/>
    <n v="499"/>
    <s v="Cash on Delivery"/>
    <x v="1"/>
    <s v="Delivered"/>
  </r>
  <r>
    <n v="10021"/>
    <x v="19"/>
    <s v="C1053"/>
    <s v="Karan"/>
    <x v="5"/>
    <x v="5"/>
    <x v="5"/>
    <x v="2"/>
    <x v="6"/>
    <x v="6"/>
    <x v="0"/>
    <n v="299"/>
    <s v="Cash on Delivery"/>
    <x v="1"/>
    <s v="Delivered"/>
  </r>
  <r>
    <n v="10022"/>
    <x v="20"/>
    <s v="C1051"/>
    <s v="Sneha"/>
    <x v="1"/>
    <x v="1"/>
    <x v="1"/>
    <x v="0"/>
    <x v="0"/>
    <x v="0"/>
    <x v="1"/>
    <n v="799"/>
    <s v="Cash on Delivery"/>
    <x v="1"/>
    <s v="Shipped"/>
  </r>
  <r>
    <n v="10023"/>
    <x v="21"/>
    <s v="C1111"/>
    <s v="Priya"/>
    <x v="5"/>
    <x v="5"/>
    <x v="5"/>
    <x v="1"/>
    <x v="2"/>
    <x v="2"/>
    <x v="2"/>
    <n v="299"/>
    <s v="Card"/>
    <x v="3"/>
    <s v="Delivered"/>
  </r>
  <r>
    <n v="10024"/>
    <x v="22"/>
    <s v="C1162"/>
    <s v="Rahul"/>
    <x v="0"/>
    <x v="0"/>
    <x v="0"/>
    <x v="2"/>
    <x v="7"/>
    <x v="7"/>
    <x v="3"/>
    <n v="299"/>
    <s v="Cash on Delivery"/>
    <x v="1"/>
    <s v="Shipped"/>
  </r>
  <r>
    <n v="10025"/>
    <x v="23"/>
    <s v="C1031"/>
    <s v="Vikram"/>
    <x v="1"/>
    <x v="1"/>
    <x v="1"/>
    <x v="0"/>
    <x v="4"/>
    <x v="4"/>
    <x v="1"/>
    <n v="1299"/>
    <s v="Card"/>
    <x v="3"/>
    <s v="Returned"/>
  </r>
  <r>
    <n v="10026"/>
    <x v="8"/>
    <s v="C1190"/>
    <s v="Amit"/>
    <x v="5"/>
    <x v="5"/>
    <x v="5"/>
    <x v="2"/>
    <x v="6"/>
    <x v="6"/>
    <x v="4"/>
    <n v="299"/>
    <s v="Net Banking"/>
    <x v="0"/>
    <s v="Delivered"/>
  </r>
  <r>
    <n v="10027"/>
    <x v="24"/>
    <s v="C1003"/>
    <s v="Rahul"/>
    <x v="3"/>
    <x v="2"/>
    <x v="2"/>
    <x v="1"/>
    <x v="1"/>
    <x v="1"/>
    <x v="4"/>
    <n v="1999"/>
    <s v="Card"/>
    <x v="3"/>
    <s v="Cancelled"/>
  </r>
  <r>
    <n v="10028"/>
    <x v="25"/>
    <s v="C1034"/>
    <s v="Anjali"/>
    <x v="5"/>
    <x v="5"/>
    <x v="5"/>
    <x v="2"/>
    <x v="7"/>
    <x v="7"/>
    <x v="0"/>
    <n v="299"/>
    <m/>
    <x v="2"/>
    <s v="Cancelled"/>
  </r>
  <r>
    <n v="10029"/>
    <x v="26"/>
    <s v="C1185"/>
    <s v="Anjali"/>
    <x v="1"/>
    <x v="1"/>
    <x v="1"/>
    <x v="0"/>
    <x v="0"/>
    <x v="0"/>
    <x v="1"/>
    <n v="1999"/>
    <m/>
    <x v="2"/>
    <s v="Cancelled"/>
  </r>
  <r>
    <n v="10030"/>
    <x v="27"/>
    <s v="C1194"/>
    <s v="Priya"/>
    <x v="1"/>
    <x v="1"/>
    <x v="1"/>
    <x v="2"/>
    <x v="6"/>
    <x v="6"/>
    <x v="1"/>
    <n v="1299"/>
    <m/>
    <x v="2"/>
    <s v="Shipped"/>
  </r>
  <r>
    <n v="10031"/>
    <x v="28"/>
    <s v="C1009"/>
    <s v="Vikram"/>
    <x v="2"/>
    <x v="4"/>
    <x v="4"/>
    <x v="1"/>
    <x v="2"/>
    <x v="2"/>
    <x v="4"/>
    <n v="299"/>
    <m/>
    <x v="2"/>
    <s v="Shipped"/>
  </r>
  <r>
    <n v="10032"/>
    <x v="29"/>
    <s v="C1121"/>
    <s v="Rahul"/>
    <x v="0"/>
    <x v="0"/>
    <x v="0"/>
    <x v="1"/>
    <x v="1"/>
    <x v="1"/>
    <x v="1"/>
    <n v="499"/>
    <m/>
    <x v="2"/>
    <s v="Cancelled"/>
  </r>
  <r>
    <n v="10033"/>
    <x v="30"/>
    <s v="C1064"/>
    <s v="Sneha"/>
    <x v="6"/>
    <x v="4"/>
    <x v="4"/>
    <x v="1"/>
    <x v="2"/>
    <x v="2"/>
    <x v="4"/>
    <n v="1999"/>
    <s v="Net Banking"/>
    <x v="0"/>
    <s v="Returned"/>
  </r>
  <r>
    <n v="10034"/>
    <x v="31"/>
    <s v="C1132"/>
    <s v="Vikram"/>
    <x v="2"/>
    <x v="4"/>
    <x v="4"/>
    <x v="1"/>
    <x v="2"/>
    <x v="2"/>
    <x v="4"/>
    <n v="1999"/>
    <m/>
    <x v="2"/>
    <s v="Shipped"/>
  </r>
  <r>
    <n v="10035"/>
    <x v="32"/>
    <s v="C1037"/>
    <s v="Rahul"/>
    <x v="2"/>
    <x v="2"/>
    <x v="2"/>
    <x v="1"/>
    <x v="1"/>
    <x v="1"/>
    <x v="1"/>
    <n v="799"/>
    <s v="Cash on Delivery"/>
    <x v="1"/>
    <s v="Shipped"/>
  </r>
  <r>
    <n v="10036"/>
    <x v="33"/>
    <s v="C1160"/>
    <s v="Anjali"/>
    <x v="0"/>
    <x v="0"/>
    <x v="0"/>
    <x v="2"/>
    <x v="5"/>
    <x v="5"/>
    <x v="4"/>
    <n v="299"/>
    <m/>
    <x v="2"/>
    <s v="Delivered"/>
  </r>
  <r>
    <n v="10037"/>
    <x v="34"/>
    <s v="C1083"/>
    <s v="Anjali"/>
    <x v="5"/>
    <x v="5"/>
    <x v="5"/>
    <x v="0"/>
    <x v="4"/>
    <x v="4"/>
    <x v="1"/>
    <n v="799"/>
    <m/>
    <x v="2"/>
    <s v="Cancelled"/>
  </r>
  <r>
    <n v="10038"/>
    <x v="16"/>
    <s v="C1093"/>
    <s v="Rahul"/>
    <x v="0"/>
    <x v="0"/>
    <x v="0"/>
    <x v="2"/>
    <x v="3"/>
    <x v="3"/>
    <x v="2"/>
    <n v="799"/>
    <s v="Card"/>
    <x v="3"/>
    <s v="Returned"/>
  </r>
  <r>
    <n v="10039"/>
    <x v="11"/>
    <s v="C1191"/>
    <s v="Priya"/>
    <x v="0"/>
    <x v="0"/>
    <x v="0"/>
    <x v="2"/>
    <x v="7"/>
    <x v="7"/>
    <x v="4"/>
    <n v="799"/>
    <m/>
    <x v="2"/>
    <s v="Cancelled"/>
  </r>
  <r>
    <n v="10040"/>
    <x v="35"/>
    <s v="C1090"/>
    <s v="Amit"/>
    <x v="3"/>
    <x v="2"/>
    <x v="2"/>
    <x v="0"/>
    <x v="0"/>
    <x v="0"/>
    <x v="4"/>
    <n v="1999"/>
    <s v="Card"/>
    <x v="3"/>
    <s v="Returned"/>
  </r>
  <r>
    <n v="10041"/>
    <x v="36"/>
    <s v="C1152"/>
    <s v="Neha"/>
    <x v="6"/>
    <x v="2"/>
    <x v="2"/>
    <x v="0"/>
    <x v="4"/>
    <x v="4"/>
    <x v="0"/>
    <n v="799"/>
    <s v="Cash on Delivery"/>
    <x v="1"/>
    <s v="Cancelled"/>
  </r>
  <r>
    <n v="10042"/>
    <x v="37"/>
    <s v="C1066"/>
    <s v="Amit"/>
    <x v="0"/>
    <x v="0"/>
    <x v="0"/>
    <x v="3"/>
    <x v="7"/>
    <x v="7"/>
    <x v="1"/>
    <n v="799"/>
    <s v="Net Banking"/>
    <x v="0"/>
    <s v="Shipped"/>
  </r>
  <r>
    <n v="10043"/>
    <x v="38"/>
    <s v="C1034"/>
    <s v="Priya"/>
    <x v="5"/>
    <x v="5"/>
    <x v="5"/>
    <x v="1"/>
    <x v="2"/>
    <x v="2"/>
    <x v="3"/>
    <n v="1999"/>
    <s v="Card"/>
    <x v="3"/>
    <s v="Delivered"/>
  </r>
  <r>
    <n v="10044"/>
    <x v="30"/>
    <s v="C1017"/>
    <s v="Neha"/>
    <x v="1"/>
    <x v="1"/>
    <x v="1"/>
    <x v="1"/>
    <x v="1"/>
    <x v="1"/>
    <x v="3"/>
    <n v="1299"/>
    <m/>
    <x v="2"/>
    <s v="Shipped"/>
  </r>
  <r>
    <n v="10045"/>
    <x v="39"/>
    <s v="C1032"/>
    <s v="Rahul"/>
    <x v="4"/>
    <x v="1"/>
    <x v="1"/>
    <x v="0"/>
    <x v="0"/>
    <x v="0"/>
    <x v="0"/>
    <n v="299"/>
    <m/>
    <x v="2"/>
    <s v="Cancelled"/>
  </r>
  <r>
    <n v="10046"/>
    <x v="40"/>
    <s v="C1055"/>
    <s v="Karan"/>
    <x v="4"/>
    <x v="1"/>
    <x v="1"/>
    <x v="0"/>
    <x v="0"/>
    <x v="0"/>
    <x v="3"/>
    <n v="1999"/>
    <m/>
    <x v="2"/>
    <s v="Delivered"/>
  </r>
  <r>
    <n v="10047"/>
    <x v="41"/>
    <s v="C1063"/>
    <s v="Priya"/>
    <x v="4"/>
    <x v="1"/>
    <x v="1"/>
    <x v="0"/>
    <x v="0"/>
    <x v="0"/>
    <x v="2"/>
    <n v="999999"/>
    <s v="Net Banking"/>
    <x v="0"/>
    <s v="Delivered"/>
  </r>
  <r>
    <n v="10048"/>
    <x v="42"/>
    <s v="C1006"/>
    <s v="Rahul"/>
    <x v="1"/>
    <x v="1"/>
    <x v="1"/>
    <x v="3"/>
    <x v="5"/>
    <x v="5"/>
    <x v="3"/>
    <n v="1299"/>
    <s v="Card"/>
    <x v="3"/>
    <s v="Delivered"/>
  </r>
  <r>
    <n v="10049"/>
    <x v="43"/>
    <s v="C1049"/>
    <s v="Priya"/>
    <x v="2"/>
    <x v="2"/>
    <x v="2"/>
    <x v="2"/>
    <x v="3"/>
    <x v="3"/>
    <x v="2"/>
    <n v="1299"/>
    <m/>
    <x v="2"/>
    <s v="Returned"/>
  </r>
  <r>
    <n v="10050"/>
    <x v="44"/>
    <s v="C1098"/>
    <s v="Anjali"/>
    <x v="1"/>
    <x v="1"/>
    <x v="1"/>
    <x v="1"/>
    <x v="2"/>
    <x v="2"/>
    <x v="1"/>
    <n v="299"/>
    <m/>
    <x v="2"/>
    <s v="Shipped"/>
  </r>
  <r>
    <n v="10051"/>
    <x v="35"/>
    <s v="C1094"/>
    <s v="Karan"/>
    <x v="5"/>
    <x v="5"/>
    <x v="5"/>
    <x v="0"/>
    <x v="4"/>
    <x v="4"/>
    <x v="0"/>
    <n v="499"/>
    <s v="Card"/>
    <x v="3"/>
    <s v="Cancelled"/>
  </r>
  <r>
    <n v="10052"/>
    <x v="45"/>
    <s v="C1127"/>
    <s v="Vikram"/>
    <x v="0"/>
    <x v="0"/>
    <x v="0"/>
    <x v="1"/>
    <x v="1"/>
    <x v="1"/>
    <x v="1"/>
    <n v="1299"/>
    <m/>
    <x v="2"/>
    <s v="Returned"/>
  </r>
  <r>
    <n v="10053"/>
    <x v="46"/>
    <s v="C1123"/>
    <s v="Sneha"/>
    <x v="0"/>
    <x v="0"/>
    <x v="0"/>
    <x v="0"/>
    <x v="4"/>
    <x v="4"/>
    <x v="4"/>
    <n v="1299"/>
    <s v="Card"/>
    <x v="3"/>
    <s v="Returned"/>
  </r>
  <r>
    <n v="10054"/>
    <x v="47"/>
    <s v="C1019"/>
    <s v="Vikram"/>
    <x v="3"/>
    <x v="4"/>
    <x v="4"/>
    <x v="2"/>
    <x v="3"/>
    <x v="3"/>
    <x v="2"/>
    <n v="299"/>
    <m/>
    <x v="2"/>
    <s v="Shipped"/>
  </r>
  <r>
    <n v="10055"/>
    <x v="48"/>
    <s v="C1005"/>
    <s v="Priya"/>
    <x v="5"/>
    <x v="5"/>
    <x v="5"/>
    <x v="2"/>
    <x v="7"/>
    <x v="7"/>
    <x v="2"/>
    <n v="799"/>
    <m/>
    <x v="2"/>
    <s v="Cancelled"/>
  </r>
  <r>
    <n v="10056"/>
    <x v="49"/>
    <s v="C1145"/>
    <s v="Amit"/>
    <x v="2"/>
    <x v="4"/>
    <x v="4"/>
    <x v="0"/>
    <x v="0"/>
    <x v="0"/>
    <x v="1"/>
    <n v="799"/>
    <s v="Card"/>
    <x v="3"/>
    <s v="Returned"/>
  </r>
  <r>
    <n v="10057"/>
    <x v="50"/>
    <s v="C1064"/>
    <s v="Sneha"/>
    <x v="4"/>
    <x v="3"/>
    <x v="3"/>
    <x v="1"/>
    <x v="1"/>
    <x v="1"/>
    <x v="4"/>
    <n v="1999"/>
    <s v="Card"/>
    <x v="3"/>
    <s v="Returned"/>
  </r>
  <r>
    <n v="10058"/>
    <x v="51"/>
    <s v="C1126"/>
    <s v="Rahul"/>
    <x v="4"/>
    <x v="1"/>
    <x v="1"/>
    <x v="1"/>
    <x v="5"/>
    <x v="5"/>
    <x v="3"/>
    <n v="1299"/>
    <s v="Card"/>
    <x v="3"/>
    <s v="Delivered"/>
  </r>
  <r>
    <n v="10059"/>
    <x v="52"/>
    <s v="C1002"/>
    <s v="Neha"/>
    <x v="5"/>
    <x v="5"/>
    <x v="5"/>
    <x v="0"/>
    <x v="4"/>
    <x v="4"/>
    <x v="0"/>
    <n v="1999"/>
    <m/>
    <x v="2"/>
    <s v="Cancelled"/>
  </r>
  <r>
    <n v="10060"/>
    <x v="53"/>
    <s v="C1030"/>
    <s v="Sneha"/>
    <x v="6"/>
    <x v="4"/>
    <x v="4"/>
    <x v="1"/>
    <x v="2"/>
    <x v="2"/>
    <x v="1"/>
    <n v="1299"/>
    <s v="Card"/>
    <x v="3"/>
    <s v="Delivered"/>
  </r>
  <r>
    <n v="10061"/>
    <x v="54"/>
    <s v="C1065"/>
    <s v="Vikram"/>
    <x v="0"/>
    <x v="0"/>
    <x v="0"/>
    <x v="2"/>
    <x v="5"/>
    <x v="5"/>
    <x v="1"/>
    <n v="799"/>
    <s v="Net Banking"/>
    <x v="0"/>
    <s v="Delivered"/>
  </r>
  <r>
    <n v="10062"/>
    <x v="55"/>
    <s v="C1096"/>
    <s v="Priya"/>
    <x v="5"/>
    <x v="5"/>
    <x v="5"/>
    <x v="0"/>
    <x v="4"/>
    <x v="4"/>
    <x v="3"/>
    <n v="1299"/>
    <s v="Card"/>
    <x v="3"/>
    <s v="Shipped"/>
  </r>
  <r>
    <n v="10063"/>
    <x v="56"/>
    <s v="C1150"/>
    <s v="Sneha"/>
    <x v="5"/>
    <x v="5"/>
    <x v="5"/>
    <x v="1"/>
    <x v="5"/>
    <x v="5"/>
    <x v="2"/>
    <n v="1299"/>
    <s v="Cash on Delivery"/>
    <x v="1"/>
    <s v="Returned"/>
  </r>
  <r>
    <n v="10064"/>
    <x v="34"/>
    <s v="C1103"/>
    <s v="Karan"/>
    <x v="4"/>
    <x v="1"/>
    <x v="1"/>
    <x v="1"/>
    <x v="2"/>
    <x v="2"/>
    <x v="2"/>
    <n v="1999"/>
    <m/>
    <x v="2"/>
    <s v="Cancelled"/>
  </r>
  <r>
    <n v="10065"/>
    <x v="57"/>
    <s v="C1139"/>
    <s v="Amit"/>
    <x v="5"/>
    <x v="5"/>
    <x v="5"/>
    <x v="2"/>
    <x v="6"/>
    <x v="6"/>
    <x v="3"/>
    <n v="299"/>
    <m/>
    <x v="2"/>
    <s v="Returned"/>
  </r>
  <r>
    <n v="10066"/>
    <x v="58"/>
    <s v="C1064"/>
    <s v="Anjali"/>
    <x v="6"/>
    <x v="2"/>
    <x v="2"/>
    <x v="0"/>
    <x v="4"/>
    <x v="4"/>
    <x v="0"/>
    <n v="499"/>
    <s v="Net Banking"/>
    <x v="0"/>
    <s v="Shipped"/>
  </r>
  <r>
    <n v="10067"/>
    <x v="24"/>
    <s v="C1052"/>
    <s v="Amit"/>
    <x v="0"/>
    <x v="0"/>
    <x v="0"/>
    <x v="1"/>
    <x v="1"/>
    <x v="1"/>
    <x v="0"/>
    <n v="1999"/>
    <s v="Cash on Delivery"/>
    <x v="1"/>
    <s v="Shipped"/>
  </r>
  <r>
    <n v="10068"/>
    <x v="59"/>
    <s v="C1143"/>
    <s v="Amit"/>
    <x v="0"/>
    <x v="0"/>
    <x v="0"/>
    <x v="1"/>
    <x v="1"/>
    <x v="1"/>
    <x v="2"/>
    <n v="299"/>
    <s v="Cash on Delivery"/>
    <x v="1"/>
    <s v="Shipped"/>
  </r>
  <r>
    <n v="10069"/>
    <x v="55"/>
    <s v="C1092"/>
    <s v="Priya"/>
    <x v="3"/>
    <x v="4"/>
    <x v="4"/>
    <x v="0"/>
    <x v="0"/>
    <x v="0"/>
    <x v="0"/>
    <n v="299"/>
    <m/>
    <x v="2"/>
    <s v="Delivered"/>
  </r>
  <r>
    <n v="10070"/>
    <x v="60"/>
    <s v="C1191"/>
    <s v="Priya"/>
    <x v="0"/>
    <x v="0"/>
    <x v="0"/>
    <x v="0"/>
    <x v="4"/>
    <x v="4"/>
    <x v="3"/>
    <n v="1299"/>
    <m/>
    <x v="2"/>
    <s v="Shipped"/>
  </r>
  <r>
    <n v="10071"/>
    <x v="61"/>
    <s v="C1018"/>
    <s v="Neha"/>
    <x v="4"/>
    <x v="1"/>
    <x v="1"/>
    <x v="0"/>
    <x v="4"/>
    <x v="4"/>
    <x v="0"/>
    <n v="499"/>
    <s v="Net Banking"/>
    <x v="0"/>
    <s v="Delivered"/>
  </r>
  <r>
    <n v="10072"/>
    <x v="62"/>
    <s v="C1003"/>
    <s v="Sneha"/>
    <x v="6"/>
    <x v="4"/>
    <x v="4"/>
    <x v="2"/>
    <x v="3"/>
    <x v="3"/>
    <x v="0"/>
    <n v="1299"/>
    <m/>
    <x v="2"/>
    <s v="Cancelled"/>
  </r>
  <r>
    <n v="10073"/>
    <x v="34"/>
    <s v="C1092"/>
    <s v="Rahul"/>
    <x v="0"/>
    <x v="0"/>
    <x v="0"/>
    <x v="3"/>
    <x v="6"/>
    <x v="6"/>
    <x v="3"/>
    <n v="299"/>
    <s v="Card"/>
    <x v="3"/>
    <s v="Returned"/>
  </r>
  <r>
    <n v="10074"/>
    <x v="63"/>
    <s v="C1083"/>
    <s v="Rahul"/>
    <x v="5"/>
    <x v="5"/>
    <x v="5"/>
    <x v="2"/>
    <x v="6"/>
    <x v="6"/>
    <x v="1"/>
    <n v="499"/>
    <s v="Cash on Delivery"/>
    <x v="1"/>
    <s v="Cancelled"/>
  </r>
  <r>
    <n v="10075"/>
    <x v="64"/>
    <s v="C1017"/>
    <s v="Priya"/>
    <x v="1"/>
    <x v="1"/>
    <x v="1"/>
    <x v="1"/>
    <x v="1"/>
    <x v="1"/>
    <x v="4"/>
    <n v="299"/>
    <s v="Cash on Delivery"/>
    <x v="1"/>
    <s v="Shipped"/>
  </r>
  <r>
    <n v="10076"/>
    <x v="65"/>
    <s v="C1066"/>
    <s v="Priya"/>
    <x v="1"/>
    <x v="1"/>
    <x v="1"/>
    <x v="0"/>
    <x v="4"/>
    <x v="4"/>
    <x v="2"/>
    <n v="299"/>
    <s v="Cash on Delivery"/>
    <x v="1"/>
    <s v="Shipped"/>
  </r>
  <r>
    <n v="10077"/>
    <x v="27"/>
    <s v="C1059"/>
    <s v="Sneha"/>
    <x v="2"/>
    <x v="4"/>
    <x v="4"/>
    <x v="0"/>
    <x v="4"/>
    <x v="4"/>
    <x v="2"/>
    <n v="499"/>
    <s v="Card"/>
    <x v="3"/>
    <s v="Cancelled"/>
  </r>
  <r>
    <n v="10078"/>
    <x v="66"/>
    <s v="C1107"/>
    <s v="Rahul"/>
    <x v="5"/>
    <x v="5"/>
    <x v="5"/>
    <x v="0"/>
    <x v="4"/>
    <x v="4"/>
    <x v="2"/>
    <n v="299"/>
    <m/>
    <x v="2"/>
    <s v="Cancelled"/>
  </r>
  <r>
    <n v="10079"/>
    <x v="67"/>
    <s v="C1038"/>
    <s v="Sneha"/>
    <x v="1"/>
    <x v="1"/>
    <x v="1"/>
    <x v="2"/>
    <x v="6"/>
    <x v="6"/>
    <x v="0"/>
    <n v="299"/>
    <s v="Net Banking"/>
    <x v="0"/>
    <s v="Cancelled"/>
  </r>
  <r>
    <n v="10080"/>
    <x v="68"/>
    <s v="C1176"/>
    <s v="Vikram"/>
    <x v="5"/>
    <x v="5"/>
    <x v="5"/>
    <x v="2"/>
    <x v="5"/>
    <x v="5"/>
    <x v="3"/>
    <n v="799"/>
    <m/>
    <x v="2"/>
    <s v="Shipped"/>
  </r>
  <r>
    <n v="10081"/>
    <x v="69"/>
    <s v="C1165"/>
    <s v="Priya"/>
    <x v="2"/>
    <x v="2"/>
    <x v="2"/>
    <x v="0"/>
    <x v="4"/>
    <x v="4"/>
    <x v="4"/>
    <n v="1999"/>
    <s v="Cash on Delivery"/>
    <x v="1"/>
    <s v="Shipped"/>
  </r>
  <r>
    <n v="10082"/>
    <x v="26"/>
    <s v="C1140"/>
    <s v="Neha"/>
    <x v="5"/>
    <x v="5"/>
    <x v="5"/>
    <x v="0"/>
    <x v="0"/>
    <x v="0"/>
    <x v="1"/>
    <n v="1999"/>
    <s v="Net Banking"/>
    <x v="0"/>
    <s v="Shipped"/>
  </r>
  <r>
    <n v="10083"/>
    <x v="70"/>
    <s v="C1035"/>
    <s v="Vikram"/>
    <x v="2"/>
    <x v="2"/>
    <x v="2"/>
    <x v="2"/>
    <x v="6"/>
    <x v="6"/>
    <x v="1"/>
    <n v="1299"/>
    <m/>
    <x v="2"/>
    <s v="Delivered"/>
  </r>
  <r>
    <n v="10084"/>
    <x v="71"/>
    <s v="C1082"/>
    <s v="Rahul"/>
    <x v="5"/>
    <x v="5"/>
    <x v="5"/>
    <x v="0"/>
    <x v="4"/>
    <x v="4"/>
    <x v="1"/>
    <n v="1999"/>
    <s v="Net Banking"/>
    <x v="0"/>
    <s v="Shipped"/>
  </r>
  <r>
    <n v="10085"/>
    <x v="72"/>
    <s v="C1119"/>
    <s v="Vikram"/>
    <x v="5"/>
    <x v="5"/>
    <x v="5"/>
    <x v="2"/>
    <x v="3"/>
    <x v="3"/>
    <x v="0"/>
    <n v="799"/>
    <m/>
    <x v="2"/>
    <s v="Delivered"/>
  </r>
  <r>
    <n v="10086"/>
    <x v="73"/>
    <s v="C1136"/>
    <s v="Vikram"/>
    <x v="4"/>
    <x v="1"/>
    <x v="1"/>
    <x v="0"/>
    <x v="0"/>
    <x v="0"/>
    <x v="1"/>
    <n v="499"/>
    <m/>
    <x v="2"/>
    <s v="Returned"/>
  </r>
  <r>
    <n v="10087"/>
    <x v="18"/>
    <s v="C1107"/>
    <s v="Anjali"/>
    <x v="5"/>
    <x v="5"/>
    <x v="5"/>
    <x v="0"/>
    <x v="4"/>
    <x v="4"/>
    <x v="4"/>
    <n v="799"/>
    <m/>
    <x v="2"/>
    <s v="Returned"/>
  </r>
  <r>
    <n v="10088"/>
    <x v="74"/>
    <s v="C1134"/>
    <s v="Priya"/>
    <x v="0"/>
    <x v="0"/>
    <x v="0"/>
    <x v="2"/>
    <x v="3"/>
    <x v="3"/>
    <x v="2"/>
    <n v="1299"/>
    <m/>
    <x v="2"/>
    <s v="Returned"/>
  </r>
  <r>
    <n v="10089"/>
    <x v="75"/>
    <s v="C1077"/>
    <s v="Vikram"/>
    <x v="0"/>
    <x v="0"/>
    <x v="0"/>
    <x v="2"/>
    <x v="3"/>
    <x v="3"/>
    <x v="2"/>
    <n v="1999"/>
    <s v="Net Banking"/>
    <x v="0"/>
    <s v="Returned"/>
  </r>
  <r>
    <n v="10090"/>
    <x v="65"/>
    <s v="C1185"/>
    <s v="Anjali"/>
    <x v="5"/>
    <x v="5"/>
    <x v="5"/>
    <x v="0"/>
    <x v="0"/>
    <x v="0"/>
    <x v="3"/>
    <n v="1299"/>
    <s v="Card"/>
    <x v="3"/>
    <s v="Delivered"/>
  </r>
  <r>
    <n v="10091"/>
    <x v="2"/>
    <s v="C1198"/>
    <s v="Neha"/>
    <x v="2"/>
    <x v="2"/>
    <x v="2"/>
    <x v="0"/>
    <x v="4"/>
    <x v="4"/>
    <x v="3"/>
    <n v="1999"/>
    <s v="Card"/>
    <x v="3"/>
    <s v="Returned"/>
  </r>
  <r>
    <n v="10092"/>
    <x v="76"/>
    <s v="C1040"/>
    <s v="Sneha"/>
    <x v="3"/>
    <x v="4"/>
    <x v="4"/>
    <x v="1"/>
    <x v="1"/>
    <x v="1"/>
    <x v="0"/>
    <n v="499"/>
    <s v="Cash on Delivery"/>
    <x v="1"/>
    <s v="Returned"/>
  </r>
  <r>
    <n v="10093"/>
    <x v="77"/>
    <s v="C1122"/>
    <s v="Neha"/>
    <x v="5"/>
    <x v="5"/>
    <x v="5"/>
    <x v="1"/>
    <x v="2"/>
    <x v="2"/>
    <x v="1"/>
    <n v="1999"/>
    <m/>
    <x v="2"/>
    <s v="Delivered"/>
  </r>
  <r>
    <n v="10094"/>
    <x v="78"/>
    <s v="C1184"/>
    <s v="Karan"/>
    <x v="0"/>
    <x v="0"/>
    <x v="0"/>
    <x v="0"/>
    <x v="0"/>
    <x v="0"/>
    <x v="2"/>
    <n v="499"/>
    <s v="Net Banking"/>
    <x v="0"/>
    <s v="Cancelled"/>
  </r>
  <r>
    <n v="10095"/>
    <x v="79"/>
    <s v="C1065"/>
    <s v="Vikram"/>
    <x v="5"/>
    <x v="5"/>
    <x v="5"/>
    <x v="1"/>
    <x v="1"/>
    <x v="1"/>
    <x v="4"/>
    <n v="499"/>
    <m/>
    <x v="2"/>
    <s v="Shipped"/>
  </r>
  <r>
    <n v="10096"/>
    <x v="17"/>
    <s v="C1032"/>
    <s v="Amit"/>
    <x v="2"/>
    <x v="4"/>
    <x v="4"/>
    <x v="2"/>
    <x v="3"/>
    <x v="3"/>
    <x v="0"/>
    <n v="499"/>
    <s v="Cash on Delivery"/>
    <x v="1"/>
    <s v="Returned"/>
  </r>
  <r>
    <n v="10097"/>
    <x v="80"/>
    <s v="C1173"/>
    <s v="Vikram"/>
    <x v="5"/>
    <x v="5"/>
    <x v="5"/>
    <x v="0"/>
    <x v="0"/>
    <x v="0"/>
    <x v="2"/>
    <n v="299"/>
    <m/>
    <x v="2"/>
    <s v="Cancelled"/>
  </r>
  <r>
    <n v="10098"/>
    <x v="67"/>
    <s v="C1061"/>
    <s v="Karan"/>
    <x v="0"/>
    <x v="0"/>
    <x v="0"/>
    <x v="0"/>
    <x v="0"/>
    <x v="0"/>
    <x v="0"/>
    <n v="1999"/>
    <s v="Net Banking"/>
    <x v="0"/>
    <s v="Returned"/>
  </r>
  <r>
    <n v="10099"/>
    <x v="81"/>
    <s v="C1104"/>
    <s v="Rahul"/>
    <x v="0"/>
    <x v="0"/>
    <x v="0"/>
    <x v="3"/>
    <x v="7"/>
    <x v="7"/>
    <x v="2"/>
    <n v="499"/>
    <s v="Card"/>
    <x v="3"/>
    <s v="Delivered"/>
  </r>
  <r>
    <n v="10100"/>
    <x v="82"/>
    <s v="C1122"/>
    <s v="Rahul"/>
    <x v="5"/>
    <x v="5"/>
    <x v="5"/>
    <x v="2"/>
    <x v="7"/>
    <x v="7"/>
    <x v="3"/>
    <n v="299"/>
    <s v="Card"/>
    <x v="3"/>
    <s v="Cancelled"/>
  </r>
  <r>
    <n v="10101"/>
    <x v="83"/>
    <s v="C1032"/>
    <s v="Anjali"/>
    <x v="0"/>
    <x v="0"/>
    <x v="0"/>
    <x v="2"/>
    <x v="7"/>
    <x v="7"/>
    <x v="2"/>
    <n v="799"/>
    <m/>
    <x v="2"/>
    <s v="Shipped"/>
  </r>
  <r>
    <n v="10102"/>
    <x v="68"/>
    <s v="C1193"/>
    <s v="Vikram"/>
    <x v="5"/>
    <x v="5"/>
    <x v="5"/>
    <x v="1"/>
    <x v="2"/>
    <x v="2"/>
    <x v="3"/>
    <n v="1999"/>
    <m/>
    <x v="2"/>
    <s v="Cancelled"/>
  </r>
  <r>
    <n v="10103"/>
    <x v="11"/>
    <s v="C1039"/>
    <s v="Priya"/>
    <x v="2"/>
    <x v="2"/>
    <x v="2"/>
    <x v="1"/>
    <x v="1"/>
    <x v="1"/>
    <x v="0"/>
    <n v="299"/>
    <m/>
    <x v="2"/>
    <s v="Cancelled"/>
  </r>
  <r>
    <n v="10104"/>
    <x v="84"/>
    <s v="C1156"/>
    <s v="Karan"/>
    <x v="1"/>
    <x v="1"/>
    <x v="1"/>
    <x v="3"/>
    <x v="3"/>
    <x v="3"/>
    <x v="4"/>
    <n v="299"/>
    <m/>
    <x v="2"/>
    <s v="Cancelled"/>
  </r>
  <r>
    <n v="10105"/>
    <x v="85"/>
    <s v="C1039"/>
    <s v="Neha"/>
    <x v="3"/>
    <x v="2"/>
    <x v="2"/>
    <x v="0"/>
    <x v="4"/>
    <x v="4"/>
    <x v="2"/>
    <n v="1299"/>
    <s v="Net Banking"/>
    <x v="0"/>
    <s v="Delivered"/>
  </r>
  <r>
    <n v="10106"/>
    <x v="86"/>
    <s v="C1158"/>
    <s v="Amit"/>
    <x v="7"/>
    <x v="2"/>
    <x v="2"/>
    <x v="1"/>
    <x v="1"/>
    <x v="1"/>
    <x v="3"/>
    <n v="499"/>
    <m/>
    <x v="2"/>
    <s v="Delivered"/>
  </r>
  <r>
    <n v="10107"/>
    <x v="67"/>
    <s v="C1004"/>
    <s v="Neha"/>
    <x v="2"/>
    <x v="2"/>
    <x v="2"/>
    <x v="2"/>
    <x v="7"/>
    <x v="7"/>
    <x v="4"/>
    <n v="1999"/>
    <s v="Card"/>
    <x v="3"/>
    <s v="Delivered"/>
  </r>
  <r>
    <n v="10108"/>
    <x v="87"/>
    <s v="C1082"/>
    <s v="Priya"/>
    <x v="2"/>
    <x v="2"/>
    <x v="2"/>
    <x v="0"/>
    <x v="4"/>
    <x v="4"/>
    <x v="2"/>
    <n v="799"/>
    <m/>
    <x v="2"/>
    <s v="Cancelled"/>
  </r>
  <r>
    <n v="10109"/>
    <x v="88"/>
    <s v="C1131"/>
    <s v="Vikram"/>
    <x v="0"/>
    <x v="0"/>
    <x v="0"/>
    <x v="0"/>
    <x v="0"/>
    <x v="0"/>
    <x v="3"/>
    <n v="299"/>
    <s v="Cash on Delivery"/>
    <x v="1"/>
    <s v="Returned"/>
  </r>
  <r>
    <n v="10110"/>
    <x v="67"/>
    <s v="C1058"/>
    <s v="Karan"/>
    <x v="5"/>
    <x v="5"/>
    <x v="5"/>
    <x v="1"/>
    <x v="1"/>
    <x v="1"/>
    <x v="2"/>
    <n v="499"/>
    <s v="Card"/>
    <x v="3"/>
    <s v="Returned"/>
  </r>
  <r>
    <n v="10111"/>
    <x v="37"/>
    <s v="C1031"/>
    <s v="Anjali"/>
    <x v="6"/>
    <x v="2"/>
    <x v="2"/>
    <x v="0"/>
    <x v="0"/>
    <x v="0"/>
    <x v="0"/>
    <n v="499"/>
    <s v="Card"/>
    <x v="3"/>
    <s v="Cancelled"/>
  </r>
  <r>
    <n v="10112"/>
    <x v="89"/>
    <s v="C1022"/>
    <s v="Priya"/>
    <x v="5"/>
    <x v="5"/>
    <x v="5"/>
    <x v="1"/>
    <x v="2"/>
    <x v="2"/>
    <x v="2"/>
    <n v="1999"/>
    <m/>
    <x v="2"/>
    <s v="Shipped"/>
  </r>
  <r>
    <n v="10113"/>
    <x v="90"/>
    <s v="C1057"/>
    <s v="Vikram"/>
    <x v="3"/>
    <x v="2"/>
    <x v="2"/>
    <x v="3"/>
    <x v="3"/>
    <x v="3"/>
    <x v="3"/>
    <n v="1999"/>
    <m/>
    <x v="2"/>
    <s v="Cancelled"/>
  </r>
  <r>
    <n v="10114"/>
    <x v="91"/>
    <s v="C1032"/>
    <s v="Amit"/>
    <x v="4"/>
    <x v="1"/>
    <x v="1"/>
    <x v="1"/>
    <x v="2"/>
    <x v="2"/>
    <x v="1"/>
    <n v="499"/>
    <m/>
    <x v="2"/>
    <s v="Cancelled"/>
  </r>
  <r>
    <n v="10115"/>
    <x v="92"/>
    <s v="C1067"/>
    <s v="Vikram"/>
    <x v="5"/>
    <x v="5"/>
    <x v="5"/>
    <x v="2"/>
    <x v="7"/>
    <x v="7"/>
    <x v="0"/>
    <n v="499"/>
    <m/>
    <x v="2"/>
    <s v="Shipped"/>
  </r>
  <r>
    <n v="10116"/>
    <x v="84"/>
    <s v="C1021"/>
    <s v="Sneha"/>
    <x v="5"/>
    <x v="5"/>
    <x v="5"/>
    <x v="1"/>
    <x v="1"/>
    <x v="1"/>
    <x v="4"/>
    <n v="1999"/>
    <m/>
    <x v="2"/>
    <s v="Shipped"/>
  </r>
  <r>
    <n v="10117"/>
    <x v="91"/>
    <s v="C1023"/>
    <s v="Karan"/>
    <x v="0"/>
    <x v="0"/>
    <x v="0"/>
    <x v="2"/>
    <x v="3"/>
    <x v="3"/>
    <x v="4"/>
    <n v="1299"/>
    <s v="Card"/>
    <x v="3"/>
    <s v="Delivered"/>
  </r>
  <r>
    <n v="10118"/>
    <x v="93"/>
    <s v="C1138"/>
    <s v="Vikram"/>
    <x v="6"/>
    <x v="4"/>
    <x v="4"/>
    <x v="2"/>
    <x v="3"/>
    <x v="3"/>
    <x v="2"/>
    <n v="299"/>
    <s v="Net Banking"/>
    <x v="0"/>
    <s v="Delivered"/>
  </r>
  <r>
    <n v="10119"/>
    <x v="94"/>
    <s v="C1125"/>
    <s v="Anjali"/>
    <x v="5"/>
    <x v="5"/>
    <x v="5"/>
    <x v="1"/>
    <x v="1"/>
    <x v="1"/>
    <x v="0"/>
    <n v="799"/>
    <s v="Card"/>
    <x v="3"/>
    <s v="Shipped"/>
  </r>
  <r>
    <n v="10120"/>
    <x v="95"/>
    <s v="C1175"/>
    <s v="Sneha"/>
    <x v="2"/>
    <x v="2"/>
    <x v="2"/>
    <x v="0"/>
    <x v="4"/>
    <x v="4"/>
    <x v="0"/>
    <n v="1999"/>
    <m/>
    <x v="2"/>
    <s v="Returned"/>
  </r>
  <r>
    <n v="10121"/>
    <x v="76"/>
    <s v="C1097"/>
    <s v="Anjali"/>
    <x v="5"/>
    <x v="5"/>
    <x v="5"/>
    <x v="1"/>
    <x v="2"/>
    <x v="2"/>
    <x v="3"/>
    <n v="299"/>
    <s v="Net Banking"/>
    <x v="0"/>
    <s v="Returned"/>
  </r>
  <r>
    <n v="10122"/>
    <x v="96"/>
    <s v="C1016"/>
    <s v="Sneha"/>
    <x v="6"/>
    <x v="2"/>
    <x v="2"/>
    <x v="1"/>
    <x v="1"/>
    <x v="1"/>
    <x v="0"/>
    <n v="799"/>
    <s v="Cash on Delivery"/>
    <x v="1"/>
    <s v="Delivered"/>
  </r>
  <r>
    <n v="10123"/>
    <x v="97"/>
    <s v="C1138"/>
    <s v="Vikram"/>
    <x v="6"/>
    <x v="4"/>
    <x v="4"/>
    <x v="1"/>
    <x v="2"/>
    <x v="2"/>
    <x v="0"/>
    <n v="799"/>
    <s v="Cash on Delivery"/>
    <x v="1"/>
    <s v="Shipped"/>
  </r>
  <r>
    <n v="10124"/>
    <x v="98"/>
    <s v="C1146"/>
    <s v="Vikram"/>
    <x v="0"/>
    <x v="3"/>
    <x v="3"/>
    <x v="0"/>
    <x v="0"/>
    <x v="0"/>
    <x v="4"/>
    <n v="299"/>
    <m/>
    <x v="2"/>
    <s v="Returned"/>
  </r>
  <r>
    <n v="10125"/>
    <x v="17"/>
    <s v="C1009"/>
    <s v="Amit"/>
    <x v="2"/>
    <x v="4"/>
    <x v="4"/>
    <x v="0"/>
    <x v="4"/>
    <x v="4"/>
    <x v="3"/>
    <n v="499"/>
    <s v="Cash on Delivery"/>
    <x v="1"/>
    <s v="Cancelled"/>
  </r>
  <r>
    <n v="10126"/>
    <x v="93"/>
    <s v="C1008"/>
    <s v="Neha"/>
    <x v="5"/>
    <x v="5"/>
    <x v="5"/>
    <x v="2"/>
    <x v="6"/>
    <x v="6"/>
    <x v="2"/>
    <n v="499"/>
    <m/>
    <x v="2"/>
    <s v="Returned"/>
  </r>
  <r>
    <n v="10127"/>
    <x v="99"/>
    <s v="C1091"/>
    <s v="Sneha"/>
    <x v="5"/>
    <x v="5"/>
    <x v="5"/>
    <x v="1"/>
    <x v="1"/>
    <x v="1"/>
    <x v="1"/>
    <n v="299"/>
    <m/>
    <x v="2"/>
    <s v="Delivered"/>
  </r>
  <r>
    <n v="10128"/>
    <x v="100"/>
    <s v="C1003"/>
    <s v="Karan"/>
    <x v="1"/>
    <x v="1"/>
    <x v="1"/>
    <x v="0"/>
    <x v="4"/>
    <x v="4"/>
    <x v="1"/>
    <n v="799"/>
    <m/>
    <x v="2"/>
    <s v="Shipped"/>
  </r>
  <r>
    <n v="10129"/>
    <x v="71"/>
    <s v="C1180"/>
    <s v="Vikram"/>
    <x v="0"/>
    <x v="0"/>
    <x v="0"/>
    <x v="0"/>
    <x v="0"/>
    <x v="0"/>
    <x v="3"/>
    <n v="799"/>
    <m/>
    <x v="2"/>
    <s v="Shipped"/>
  </r>
  <r>
    <n v="10130"/>
    <x v="101"/>
    <s v="C1087"/>
    <s v="Sneha"/>
    <x v="0"/>
    <x v="0"/>
    <x v="0"/>
    <x v="1"/>
    <x v="1"/>
    <x v="1"/>
    <x v="0"/>
    <n v="1299"/>
    <m/>
    <x v="2"/>
    <s v="Shipped"/>
  </r>
  <r>
    <n v="10131"/>
    <x v="102"/>
    <s v="C1189"/>
    <s v="Sneha"/>
    <x v="5"/>
    <x v="5"/>
    <x v="5"/>
    <x v="3"/>
    <x v="6"/>
    <x v="6"/>
    <x v="3"/>
    <n v="799"/>
    <s v="Card"/>
    <x v="3"/>
    <s v="Delivered"/>
  </r>
  <r>
    <n v="10132"/>
    <x v="103"/>
    <s v="C1021"/>
    <s v="Vikram"/>
    <x v="4"/>
    <x v="1"/>
    <x v="1"/>
    <x v="0"/>
    <x v="0"/>
    <x v="0"/>
    <x v="1"/>
    <n v="1999"/>
    <s v="Cash on Delivery"/>
    <x v="1"/>
    <s v="Shipped"/>
  </r>
  <r>
    <n v="10133"/>
    <x v="81"/>
    <s v="C1016"/>
    <s v="Sneha"/>
    <x v="2"/>
    <x v="2"/>
    <x v="2"/>
    <x v="2"/>
    <x v="3"/>
    <x v="3"/>
    <x v="4"/>
    <n v="1999"/>
    <s v="Net Banking"/>
    <x v="0"/>
    <s v="Cancelled"/>
  </r>
  <r>
    <n v="10134"/>
    <x v="51"/>
    <s v="C1146"/>
    <s v="Rahul"/>
    <x v="7"/>
    <x v="3"/>
    <x v="3"/>
    <x v="0"/>
    <x v="4"/>
    <x v="4"/>
    <x v="3"/>
    <n v="1999"/>
    <m/>
    <x v="2"/>
    <s v="Returned"/>
  </r>
  <r>
    <n v="10135"/>
    <x v="30"/>
    <s v="C1128"/>
    <s v="Amit"/>
    <x v="3"/>
    <x v="2"/>
    <x v="2"/>
    <x v="1"/>
    <x v="2"/>
    <x v="2"/>
    <x v="1"/>
    <n v="499"/>
    <s v="Net Banking"/>
    <x v="0"/>
    <s v="Cancelled"/>
  </r>
  <r>
    <n v="10136"/>
    <x v="104"/>
    <s v="C1121"/>
    <s v="Sneha"/>
    <x v="5"/>
    <x v="5"/>
    <x v="5"/>
    <x v="2"/>
    <x v="6"/>
    <x v="6"/>
    <x v="1"/>
    <n v="1999"/>
    <m/>
    <x v="2"/>
    <s v="Shipped"/>
  </r>
  <r>
    <n v="10137"/>
    <x v="105"/>
    <s v="C1018"/>
    <s v="Amit"/>
    <x v="1"/>
    <x v="1"/>
    <x v="1"/>
    <x v="1"/>
    <x v="2"/>
    <x v="2"/>
    <x v="1"/>
    <n v="299"/>
    <m/>
    <x v="2"/>
    <s v="Shipped"/>
  </r>
  <r>
    <n v="10138"/>
    <x v="39"/>
    <s v="C1064"/>
    <s v="Neha"/>
    <x v="5"/>
    <x v="5"/>
    <x v="5"/>
    <x v="0"/>
    <x v="0"/>
    <x v="0"/>
    <x v="5"/>
    <n v="1999"/>
    <m/>
    <x v="2"/>
    <s v="Returned"/>
  </r>
  <r>
    <n v="10139"/>
    <x v="106"/>
    <s v="C1091"/>
    <s v="Karan"/>
    <x v="5"/>
    <x v="5"/>
    <x v="5"/>
    <x v="0"/>
    <x v="0"/>
    <x v="0"/>
    <x v="4"/>
    <n v="799"/>
    <s v="Cash on Delivery"/>
    <x v="1"/>
    <s v="Returned"/>
  </r>
  <r>
    <n v="10140"/>
    <x v="107"/>
    <s v="C1141"/>
    <s v="Rahul"/>
    <x v="5"/>
    <x v="5"/>
    <x v="5"/>
    <x v="2"/>
    <x v="3"/>
    <x v="3"/>
    <x v="3"/>
    <n v="499"/>
    <m/>
    <x v="2"/>
    <s v="Delivered"/>
  </r>
  <r>
    <n v="10141"/>
    <x v="108"/>
    <s v="C1197"/>
    <s v="Sneha"/>
    <x v="0"/>
    <x v="0"/>
    <x v="0"/>
    <x v="1"/>
    <x v="2"/>
    <x v="2"/>
    <x v="3"/>
    <n v="1299"/>
    <s v="Net Banking"/>
    <x v="0"/>
    <s v="Delivered"/>
  </r>
  <r>
    <n v="10142"/>
    <x v="109"/>
    <s v="C1177"/>
    <s v="Vikram"/>
    <x v="0"/>
    <x v="0"/>
    <x v="0"/>
    <x v="3"/>
    <x v="3"/>
    <x v="3"/>
    <x v="4"/>
    <n v="1299"/>
    <s v="Net Banking"/>
    <x v="0"/>
    <s v="Delivered"/>
  </r>
  <r>
    <n v="10143"/>
    <x v="40"/>
    <s v="C1107"/>
    <s v="Vikram"/>
    <x v="2"/>
    <x v="2"/>
    <x v="2"/>
    <x v="0"/>
    <x v="4"/>
    <x v="4"/>
    <x v="2"/>
    <n v="799"/>
    <m/>
    <x v="2"/>
    <s v="Shipped"/>
  </r>
  <r>
    <n v="10144"/>
    <x v="37"/>
    <s v="C1091"/>
    <s v="Karan"/>
    <x v="4"/>
    <x v="1"/>
    <x v="1"/>
    <x v="1"/>
    <x v="1"/>
    <x v="1"/>
    <x v="4"/>
    <n v="299"/>
    <m/>
    <x v="2"/>
    <s v="Cancelled"/>
  </r>
  <r>
    <n v="10145"/>
    <x v="110"/>
    <s v="C1122"/>
    <s v="Vikram"/>
    <x v="0"/>
    <x v="3"/>
    <x v="3"/>
    <x v="2"/>
    <x v="7"/>
    <x v="7"/>
    <x v="0"/>
    <n v="799"/>
    <s v="Net Banking"/>
    <x v="0"/>
    <s v="Returned"/>
  </r>
  <r>
    <n v="10146"/>
    <x v="7"/>
    <s v="C1124"/>
    <s v="Rahul"/>
    <x v="0"/>
    <x v="0"/>
    <x v="0"/>
    <x v="1"/>
    <x v="2"/>
    <x v="2"/>
    <x v="1"/>
    <n v="1299"/>
    <m/>
    <x v="2"/>
    <s v="Shipped"/>
  </r>
  <r>
    <n v="10147"/>
    <x v="111"/>
    <s v="C1198"/>
    <s v="Neha"/>
    <x v="2"/>
    <x v="2"/>
    <x v="2"/>
    <x v="0"/>
    <x v="0"/>
    <x v="0"/>
    <x v="0"/>
    <n v="1999"/>
    <s v="Card"/>
    <x v="3"/>
    <s v="Returned"/>
  </r>
  <r>
    <n v="10148"/>
    <x v="112"/>
    <s v="C1085"/>
    <s v="Neha"/>
    <x v="0"/>
    <x v="0"/>
    <x v="0"/>
    <x v="0"/>
    <x v="0"/>
    <x v="0"/>
    <x v="4"/>
    <n v="799"/>
    <s v="Card"/>
    <x v="3"/>
    <s v="Shipped"/>
  </r>
  <r>
    <n v="10149"/>
    <x v="113"/>
    <s v="C1038"/>
    <s v="Rahul"/>
    <x v="2"/>
    <x v="2"/>
    <x v="2"/>
    <x v="2"/>
    <x v="7"/>
    <x v="7"/>
    <x v="0"/>
    <n v="499"/>
    <s v="Net Banking"/>
    <x v="0"/>
    <s v="Cancelled"/>
  </r>
  <r>
    <n v="10150"/>
    <x v="26"/>
    <s v="C1078"/>
    <s v="Vikram"/>
    <x v="2"/>
    <x v="2"/>
    <x v="2"/>
    <x v="0"/>
    <x v="4"/>
    <x v="4"/>
    <x v="0"/>
    <n v="1999"/>
    <s v="Card"/>
    <x v="3"/>
    <s v="Returned"/>
  </r>
  <r>
    <n v="10151"/>
    <x v="62"/>
    <s v="C1019"/>
    <s v="Sneha"/>
    <x v="3"/>
    <x v="2"/>
    <x v="2"/>
    <x v="0"/>
    <x v="0"/>
    <x v="0"/>
    <x v="2"/>
    <n v="499"/>
    <s v="Cash on Delivery"/>
    <x v="1"/>
    <s v="Shipped"/>
  </r>
  <r>
    <n v="10152"/>
    <x v="100"/>
    <s v="C1062"/>
    <s v="Amit"/>
    <x v="3"/>
    <x v="2"/>
    <x v="2"/>
    <x v="1"/>
    <x v="2"/>
    <x v="2"/>
    <x v="3"/>
    <n v="799"/>
    <s v="Card"/>
    <x v="3"/>
    <s v="Shipped"/>
  </r>
  <r>
    <n v="10153"/>
    <x v="114"/>
    <s v="C1005"/>
    <s v="Sneha"/>
    <x v="1"/>
    <x v="1"/>
    <x v="1"/>
    <x v="1"/>
    <x v="5"/>
    <x v="5"/>
    <x v="1"/>
    <n v="1999"/>
    <s v="Card"/>
    <x v="3"/>
    <s v="Shipped"/>
  </r>
  <r>
    <n v="10154"/>
    <x v="29"/>
    <s v="C1123"/>
    <s v="Priya"/>
    <x v="0"/>
    <x v="0"/>
    <x v="0"/>
    <x v="1"/>
    <x v="1"/>
    <x v="1"/>
    <x v="0"/>
    <n v="499"/>
    <s v="Card"/>
    <x v="3"/>
    <s v="Shipped"/>
  </r>
  <r>
    <n v="10155"/>
    <x v="115"/>
    <s v="C1126"/>
    <s v="Anjali"/>
    <x v="7"/>
    <x v="4"/>
    <x v="4"/>
    <x v="1"/>
    <x v="2"/>
    <x v="2"/>
    <x v="4"/>
    <n v="299"/>
    <s v="Net Banking"/>
    <x v="0"/>
    <s v="Shipped"/>
  </r>
  <r>
    <n v="10156"/>
    <x v="116"/>
    <s v="C1104"/>
    <s v="Vikram"/>
    <x v="5"/>
    <x v="5"/>
    <x v="5"/>
    <x v="2"/>
    <x v="5"/>
    <x v="5"/>
    <x v="4"/>
    <n v="499"/>
    <s v="Cash on Delivery"/>
    <x v="1"/>
    <s v="Shipped"/>
  </r>
  <r>
    <n v="10157"/>
    <x v="117"/>
    <s v="C1090"/>
    <s v="Karan"/>
    <x v="2"/>
    <x v="4"/>
    <x v="4"/>
    <x v="1"/>
    <x v="1"/>
    <x v="1"/>
    <x v="2"/>
    <n v="299"/>
    <s v="Net Banking"/>
    <x v="0"/>
    <s v="Returned"/>
  </r>
  <r>
    <n v="10158"/>
    <x v="118"/>
    <s v="C1094"/>
    <s v="Neha"/>
    <x v="4"/>
    <x v="1"/>
    <x v="1"/>
    <x v="2"/>
    <x v="6"/>
    <x v="6"/>
    <x v="0"/>
    <n v="499"/>
    <s v="Net Banking"/>
    <x v="0"/>
    <s v="Returned"/>
  </r>
  <r>
    <n v="10159"/>
    <x v="24"/>
    <s v="C1042"/>
    <s v="Amit"/>
    <x v="2"/>
    <x v="2"/>
    <x v="2"/>
    <x v="0"/>
    <x v="0"/>
    <x v="0"/>
    <x v="2"/>
    <n v="799"/>
    <m/>
    <x v="2"/>
    <s v="Shipped"/>
  </r>
  <r>
    <n v="10160"/>
    <x v="119"/>
    <s v="C1105"/>
    <s v="Karan"/>
    <x v="5"/>
    <x v="5"/>
    <x v="5"/>
    <x v="0"/>
    <x v="0"/>
    <x v="0"/>
    <x v="2"/>
    <n v="299"/>
    <s v="Card"/>
    <x v="3"/>
    <s v="Cancelled"/>
  </r>
  <r>
    <n v="10161"/>
    <x v="120"/>
    <s v="C1162"/>
    <s v="Anjali"/>
    <x v="0"/>
    <x v="0"/>
    <x v="0"/>
    <x v="1"/>
    <x v="1"/>
    <x v="1"/>
    <x v="4"/>
    <n v="1299"/>
    <s v="Card"/>
    <x v="3"/>
    <s v="Shipped"/>
  </r>
  <r>
    <n v="10162"/>
    <x v="98"/>
    <s v="C1078"/>
    <s v="Sneha"/>
    <x v="0"/>
    <x v="0"/>
    <x v="0"/>
    <x v="0"/>
    <x v="4"/>
    <x v="4"/>
    <x v="4"/>
    <n v="1999"/>
    <s v="Cash on Delivery"/>
    <x v="1"/>
    <s v="Returned"/>
  </r>
  <r>
    <n v="10163"/>
    <x v="121"/>
    <s v="C1006"/>
    <s v="Amit"/>
    <x v="2"/>
    <x v="2"/>
    <x v="2"/>
    <x v="1"/>
    <x v="2"/>
    <x v="2"/>
    <x v="1"/>
    <n v="1999"/>
    <s v="Cash on Delivery"/>
    <x v="1"/>
    <s v="Cancelled"/>
  </r>
  <r>
    <n v="10164"/>
    <x v="122"/>
    <s v="C1061"/>
    <s v="Vikram"/>
    <x v="4"/>
    <x v="3"/>
    <x v="3"/>
    <x v="2"/>
    <x v="6"/>
    <x v="6"/>
    <x v="2"/>
    <n v="499"/>
    <s v="Card"/>
    <x v="3"/>
    <s v="Cancelled"/>
  </r>
  <r>
    <n v="10165"/>
    <x v="14"/>
    <s v="C1102"/>
    <s v="Sneha"/>
    <x v="0"/>
    <x v="0"/>
    <x v="0"/>
    <x v="0"/>
    <x v="4"/>
    <x v="4"/>
    <x v="2"/>
    <n v="799"/>
    <m/>
    <x v="2"/>
    <s v="Delivered"/>
  </r>
  <r>
    <n v="10166"/>
    <x v="116"/>
    <s v="C1125"/>
    <s v="Karan"/>
    <x v="1"/>
    <x v="1"/>
    <x v="1"/>
    <x v="0"/>
    <x v="0"/>
    <x v="0"/>
    <x v="3"/>
    <n v="1299"/>
    <m/>
    <x v="2"/>
    <s v="Shipped"/>
  </r>
  <r>
    <n v="10167"/>
    <x v="32"/>
    <s v="C1192"/>
    <s v="Karan"/>
    <x v="0"/>
    <x v="0"/>
    <x v="0"/>
    <x v="0"/>
    <x v="0"/>
    <x v="0"/>
    <x v="3"/>
    <n v="1299"/>
    <s v="Cash on Delivery"/>
    <x v="1"/>
    <s v="Shipped"/>
  </r>
  <r>
    <n v="10168"/>
    <x v="123"/>
    <s v="C1154"/>
    <s v="Vikram"/>
    <x v="5"/>
    <x v="5"/>
    <x v="5"/>
    <x v="0"/>
    <x v="4"/>
    <x v="4"/>
    <x v="6"/>
    <n v="1999"/>
    <m/>
    <x v="2"/>
    <s v="Delivered"/>
  </r>
  <r>
    <n v="10169"/>
    <x v="124"/>
    <s v="C1063"/>
    <s v="Rahul"/>
    <x v="2"/>
    <x v="2"/>
    <x v="2"/>
    <x v="3"/>
    <x v="7"/>
    <x v="7"/>
    <x v="0"/>
    <n v="1299"/>
    <s v="Cash on Delivery"/>
    <x v="1"/>
    <s v="Returned"/>
  </r>
  <r>
    <n v="10170"/>
    <x v="34"/>
    <s v="C1005"/>
    <s v="Neha"/>
    <x v="5"/>
    <x v="5"/>
    <x v="5"/>
    <x v="3"/>
    <x v="7"/>
    <x v="7"/>
    <x v="1"/>
    <n v="1299"/>
    <m/>
    <x v="2"/>
    <s v="Returned"/>
  </r>
  <r>
    <n v="10171"/>
    <x v="107"/>
    <s v="C1169"/>
    <s v="Vikram"/>
    <x v="5"/>
    <x v="5"/>
    <x v="5"/>
    <x v="2"/>
    <x v="3"/>
    <x v="3"/>
    <x v="4"/>
    <n v="1299"/>
    <s v="Card"/>
    <x v="3"/>
    <s v="Shipped"/>
  </r>
  <r>
    <n v="10172"/>
    <x v="108"/>
    <s v="C1181"/>
    <s v="Vikram"/>
    <x v="5"/>
    <x v="5"/>
    <x v="5"/>
    <x v="0"/>
    <x v="0"/>
    <x v="0"/>
    <x v="2"/>
    <n v="299"/>
    <s v="Net Banking"/>
    <x v="0"/>
    <s v="Shipped"/>
  </r>
  <r>
    <n v="10173"/>
    <x v="125"/>
    <s v="C1055"/>
    <s v="Vikram"/>
    <x v="5"/>
    <x v="5"/>
    <x v="5"/>
    <x v="3"/>
    <x v="3"/>
    <x v="3"/>
    <x v="0"/>
    <n v="499"/>
    <s v="Net Banking"/>
    <x v="0"/>
    <s v="Shipped"/>
  </r>
  <r>
    <n v="10174"/>
    <x v="126"/>
    <s v="C1035"/>
    <s v="Anjali"/>
    <x v="3"/>
    <x v="2"/>
    <x v="2"/>
    <x v="3"/>
    <x v="3"/>
    <x v="3"/>
    <x v="1"/>
    <n v="499"/>
    <s v="Cash on Delivery"/>
    <x v="1"/>
    <s v="Shipped"/>
  </r>
  <r>
    <n v="10175"/>
    <x v="110"/>
    <s v="C1025"/>
    <s v="Priya"/>
    <x v="3"/>
    <x v="2"/>
    <x v="2"/>
    <x v="1"/>
    <x v="2"/>
    <x v="2"/>
    <x v="3"/>
    <n v="499"/>
    <s v="Net Banking"/>
    <x v="0"/>
    <s v="Shipped"/>
  </r>
  <r>
    <n v="10176"/>
    <x v="74"/>
    <s v="C1116"/>
    <s v="Anjali"/>
    <x v="5"/>
    <x v="5"/>
    <x v="5"/>
    <x v="2"/>
    <x v="6"/>
    <x v="6"/>
    <x v="1"/>
    <n v="-100"/>
    <m/>
    <x v="2"/>
    <s v="Returned"/>
  </r>
  <r>
    <n v="10177"/>
    <x v="127"/>
    <s v="C1193"/>
    <s v="Sneha"/>
    <x v="1"/>
    <x v="1"/>
    <x v="1"/>
    <x v="0"/>
    <x v="4"/>
    <x v="4"/>
    <x v="0"/>
    <n v="799"/>
    <m/>
    <x v="2"/>
    <s v="Returned"/>
  </r>
  <r>
    <n v="10178"/>
    <x v="56"/>
    <s v="C1052"/>
    <s v="Priya"/>
    <x v="6"/>
    <x v="2"/>
    <x v="2"/>
    <x v="1"/>
    <x v="1"/>
    <x v="1"/>
    <x v="2"/>
    <n v="299"/>
    <m/>
    <x v="2"/>
    <s v="Delivered"/>
  </r>
  <r>
    <n v="10179"/>
    <x v="128"/>
    <s v="C1166"/>
    <s v="Vikram"/>
    <x v="5"/>
    <x v="5"/>
    <x v="5"/>
    <x v="2"/>
    <x v="3"/>
    <x v="3"/>
    <x v="2"/>
    <n v="1299"/>
    <s v="Card"/>
    <x v="3"/>
    <s v="Returned"/>
  </r>
  <r>
    <n v="10180"/>
    <x v="90"/>
    <s v="C1166"/>
    <s v="Vikram"/>
    <x v="2"/>
    <x v="2"/>
    <x v="2"/>
    <x v="1"/>
    <x v="1"/>
    <x v="1"/>
    <x v="3"/>
    <n v="1999"/>
    <s v="Cash on Delivery"/>
    <x v="1"/>
    <s v="Returned"/>
  </r>
  <r>
    <n v="10181"/>
    <x v="53"/>
    <s v="C1062"/>
    <s v="Anjali"/>
    <x v="1"/>
    <x v="1"/>
    <x v="1"/>
    <x v="0"/>
    <x v="5"/>
    <x v="5"/>
    <x v="0"/>
    <n v="499"/>
    <m/>
    <x v="2"/>
    <s v="Delivered"/>
  </r>
  <r>
    <n v="10182"/>
    <x v="62"/>
    <s v="C1004"/>
    <s v="Priya"/>
    <x v="5"/>
    <x v="5"/>
    <x v="5"/>
    <x v="2"/>
    <x v="3"/>
    <x v="3"/>
    <x v="4"/>
    <n v="1299"/>
    <s v="Net Banking"/>
    <x v="0"/>
    <s v="Cancelled"/>
  </r>
  <r>
    <n v="10183"/>
    <x v="129"/>
    <s v="C1137"/>
    <s v="Amit"/>
    <x v="2"/>
    <x v="2"/>
    <x v="2"/>
    <x v="1"/>
    <x v="1"/>
    <x v="1"/>
    <x v="1"/>
    <n v="299"/>
    <s v="Cash on Delivery"/>
    <x v="1"/>
    <s v="Returned"/>
  </r>
  <r>
    <n v="10184"/>
    <x v="60"/>
    <s v="C1029"/>
    <s v="Sneha"/>
    <x v="0"/>
    <x v="0"/>
    <x v="0"/>
    <x v="2"/>
    <x v="3"/>
    <x v="3"/>
    <x v="0"/>
    <n v="499"/>
    <s v="Net Banking"/>
    <x v="0"/>
    <s v="Delivered"/>
  </r>
  <r>
    <n v="10185"/>
    <x v="113"/>
    <s v="C1103"/>
    <s v="Sneha"/>
    <x v="0"/>
    <x v="0"/>
    <x v="0"/>
    <x v="2"/>
    <x v="7"/>
    <x v="7"/>
    <x v="3"/>
    <n v="299"/>
    <m/>
    <x v="2"/>
    <s v="Cancelled"/>
  </r>
  <r>
    <n v="10186"/>
    <x v="130"/>
    <s v="C1140"/>
    <s v="Sneha"/>
    <x v="5"/>
    <x v="5"/>
    <x v="5"/>
    <x v="0"/>
    <x v="0"/>
    <x v="0"/>
    <x v="3"/>
    <n v="799"/>
    <s v="Net Banking"/>
    <x v="0"/>
    <s v="Cancelled"/>
  </r>
  <r>
    <n v="10187"/>
    <x v="131"/>
    <s v="C1131"/>
    <s v="Sneha"/>
    <x v="1"/>
    <x v="1"/>
    <x v="1"/>
    <x v="0"/>
    <x v="0"/>
    <x v="0"/>
    <x v="2"/>
    <n v="499"/>
    <s v="Cash on Delivery"/>
    <x v="1"/>
    <s v="Cancelled"/>
  </r>
  <r>
    <n v="10188"/>
    <x v="48"/>
    <s v="C1085"/>
    <s v="Vikram"/>
    <x v="2"/>
    <x v="2"/>
    <x v="2"/>
    <x v="2"/>
    <x v="7"/>
    <x v="7"/>
    <x v="0"/>
    <n v="1999"/>
    <m/>
    <x v="2"/>
    <s v="Cancelled"/>
  </r>
  <r>
    <n v="10189"/>
    <x v="101"/>
    <s v="C1071"/>
    <s v="Anjali"/>
    <x v="5"/>
    <x v="5"/>
    <x v="5"/>
    <x v="0"/>
    <x v="4"/>
    <x v="4"/>
    <x v="4"/>
    <n v="1999"/>
    <m/>
    <x v="2"/>
    <s v="Returned"/>
  </r>
  <r>
    <n v="10190"/>
    <x v="60"/>
    <s v="C1053"/>
    <s v="Karan"/>
    <x v="5"/>
    <x v="5"/>
    <x v="5"/>
    <x v="0"/>
    <x v="0"/>
    <x v="0"/>
    <x v="0"/>
    <n v="799"/>
    <m/>
    <x v="2"/>
    <s v="Delivered"/>
  </r>
  <r>
    <n v="10191"/>
    <x v="132"/>
    <s v="C1174"/>
    <s v="Amit"/>
    <x v="5"/>
    <x v="5"/>
    <x v="5"/>
    <x v="3"/>
    <x v="6"/>
    <x v="6"/>
    <x v="0"/>
    <n v="299"/>
    <s v="Net Banking"/>
    <x v="0"/>
    <s v="Cancelled"/>
  </r>
  <r>
    <n v="10192"/>
    <x v="130"/>
    <s v="C1076"/>
    <s v="Karan"/>
    <x v="1"/>
    <x v="1"/>
    <x v="1"/>
    <x v="2"/>
    <x v="7"/>
    <x v="7"/>
    <x v="2"/>
    <n v="1299"/>
    <m/>
    <x v="2"/>
    <s v="Returned"/>
  </r>
  <r>
    <n v="10193"/>
    <x v="20"/>
    <s v="C1131"/>
    <s v="Sneha"/>
    <x v="0"/>
    <x v="0"/>
    <x v="0"/>
    <x v="3"/>
    <x v="6"/>
    <x v="6"/>
    <x v="0"/>
    <n v="1299"/>
    <s v="Cash on Delivery"/>
    <x v="1"/>
    <s v="Cancelled"/>
  </r>
  <r>
    <n v="10194"/>
    <x v="63"/>
    <s v="C1030"/>
    <s v="Amit"/>
    <x v="3"/>
    <x v="2"/>
    <x v="2"/>
    <x v="2"/>
    <x v="3"/>
    <x v="3"/>
    <x v="7"/>
    <n v="1299"/>
    <s v="Net Banking"/>
    <x v="0"/>
    <s v="Cancelled"/>
  </r>
  <r>
    <n v="10195"/>
    <x v="71"/>
    <s v="C1170"/>
    <s v="Sneha"/>
    <x v="3"/>
    <x v="3"/>
    <x v="3"/>
    <x v="1"/>
    <x v="2"/>
    <x v="2"/>
    <x v="3"/>
    <n v="1299"/>
    <s v="Net Banking"/>
    <x v="0"/>
    <s v="Shipped"/>
  </r>
  <r>
    <n v="10196"/>
    <x v="70"/>
    <s v="C1193"/>
    <s v="Priya"/>
    <x v="2"/>
    <x v="2"/>
    <x v="2"/>
    <x v="0"/>
    <x v="4"/>
    <x v="4"/>
    <x v="1"/>
    <n v="499"/>
    <s v="Net Banking"/>
    <x v="0"/>
    <s v="Shipped"/>
  </r>
  <r>
    <n v="10197"/>
    <x v="133"/>
    <s v="C1149"/>
    <s v="Rahul"/>
    <x v="0"/>
    <x v="0"/>
    <x v="0"/>
    <x v="0"/>
    <x v="4"/>
    <x v="4"/>
    <x v="0"/>
    <n v="499"/>
    <m/>
    <x v="2"/>
    <s v="Returned"/>
  </r>
  <r>
    <n v="10198"/>
    <x v="134"/>
    <s v="C1046"/>
    <s v="Karan"/>
    <x v="1"/>
    <x v="1"/>
    <x v="1"/>
    <x v="0"/>
    <x v="4"/>
    <x v="4"/>
    <x v="2"/>
    <n v="1999"/>
    <s v="Net Banking"/>
    <x v="0"/>
    <s v="Cancelled"/>
  </r>
  <r>
    <n v="10199"/>
    <x v="23"/>
    <s v="C1105"/>
    <s v="Amit"/>
    <x v="4"/>
    <x v="1"/>
    <x v="1"/>
    <x v="1"/>
    <x v="2"/>
    <x v="2"/>
    <x v="4"/>
    <n v="799"/>
    <s v="Cash on Delivery"/>
    <x v="1"/>
    <s v="Cancelled"/>
  </r>
  <r>
    <n v="10200"/>
    <x v="35"/>
    <s v="C1162"/>
    <s v="Karan"/>
    <x v="5"/>
    <x v="5"/>
    <x v="5"/>
    <x v="2"/>
    <x v="6"/>
    <x v="6"/>
    <x v="1"/>
    <n v="999999"/>
    <s v="Net Banking"/>
    <x v="0"/>
    <s v="Shipped"/>
  </r>
  <r>
    <n v="10201"/>
    <x v="90"/>
    <s v="C1061"/>
    <s v="Rahul"/>
    <x v="0"/>
    <x v="0"/>
    <x v="0"/>
    <x v="1"/>
    <x v="2"/>
    <x v="2"/>
    <x v="2"/>
    <n v="1299"/>
    <s v="Card"/>
    <x v="3"/>
    <s v="Delivered"/>
  </r>
  <r>
    <n v="10202"/>
    <x v="135"/>
    <s v="C1036"/>
    <s v="Vikram"/>
    <x v="0"/>
    <x v="0"/>
    <x v="0"/>
    <x v="0"/>
    <x v="0"/>
    <x v="0"/>
    <x v="3"/>
    <n v="799"/>
    <m/>
    <x v="2"/>
    <s v="Delivered"/>
  </r>
  <r>
    <n v="10203"/>
    <x v="136"/>
    <s v="C1130"/>
    <s v="Anjali"/>
    <x v="5"/>
    <x v="5"/>
    <x v="5"/>
    <x v="0"/>
    <x v="4"/>
    <x v="4"/>
    <x v="3"/>
    <n v="1299"/>
    <s v="Net Banking"/>
    <x v="0"/>
    <s v="Shipped"/>
  </r>
  <r>
    <n v="10204"/>
    <x v="137"/>
    <s v="C1077"/>
    <s v="Amit"/>
    <x v="6"/>
    <x v="4"/>
    <x v="4"/>
    <x v="2"/>
    <x v="3"/>
    <x v="3"/>
    <x v="4"/>
    <n v="1999"/>
    <m/>
    <x v="2"/>
    <s v="Shipped"/>
  </r>
  <r>
    <n v="10205"/>
    <x v="96"/>
    <s v="C1077"/>
    <s v="Vikram"/>
    <x v="2"/>
    <x v="2"/>
    <x v="2"/>
    <x v="0"/>
    <x v="0"/>
    <x v="0"/>
    <x v="1"/>
    <n v="799"/>
    <s v="Card"/>
    <x v="3"/>
    <s v="Delivered"/>
  </r>
  <r>
    <n v="10206"/>
    <x v="138"/>
    <s v="C1139"/>
    <s v="Amit"/>
    <x v="1"/>
    <x v="3"/>
    <x v="3"/>
    <x v="0"/>
    <x v="0"/>
    <x v="0"/>
    <x v="0"/>
    <n v="1299"/>
    <s v="Card"/>
    <x v="3"/>
    <s v="Shipped"/>
  </r>
  <r>
    <n v="10207"/>
    <x v="139"/>
    <s v="C1047"/>
    <s v="Amit"/>
    <x v="2"/>
    <x v="2"/>
    <x v="2"/>
    <x v="3"/>
    <x v="3"/>
    <x v="3"/>
    <x v="4"/>
    <n v="1999"/>
    <s v="Net Banking"/>
    <x v="0"/>
    <s v="Shipped"/>
  </r>
  <r>
    <n v="10208"/>
    <x v="35"/>
    <s v="C1033"/>
    <s v="Anjali"/>
    <x v="7"/>
    <x v="2"/>
    <x v="2"/>
    <x v="1"/>
    <x v="1"/>
    <x v="1"/>
    <x v="2"/>
    <n v="1999"/>
    <s v="Net Banking"/>
    <x v="0"/>
    <s v="Cancelled"/>
  </r>
  <r>
    <n v="10209"/>
    <x v="86"/>
    <s v="C1065"/>
    <s v="Sneha"/>
    <x v="4"/>
    <x v="1"/>
    <x v="1"/>
    <x v="0"/>
    <x v="0"/>
    <x v="0"/>
    <x v="3"/>
    <n v="299"/>
    <m/>
    <x v="2"/>
    <s v="Delivered"/>
  </r>
  <r>
    <n v="10210"/>
    <x v="20"/>
    <s v="C1126"/>
    <s v="Vikram"/>
    <x v="6"/>
    <x v="2"/>
    <x v="2"/>
    <x v="3"/>
    <x v="6"/>
    <x v="6"/>
    <x v="1"/>
    <n v="499"/>
    <m/>
    <x v="2"/>
    <s v="Cancelled"/>
  </r>
  <r>
    <n v="10211"/>
    <x v="138"/>
    <s v="C1005"/>
    <s v="Anjali"/>
    <x v="2"/>
    <x v="2"/>
    <x v="2"/>
    <x v="1"/>
    <x v="1"/>
    <x v="1"/>
    <x v="1"/>
    <n v="799"/>
    <m/>
    <x v="2"/>
    <s v="Returned"/>
  </r>
  <r>
    <n v="10212"/>
    <x v="117"/>
    <s v="C1161"/>
    <s v="Karan"/>
    <x v="0"/>
    <x v="0"/>
    <x v="0"/>
    <x v="1"/>
    <x v="5"/>
    <x v="5"/>
    <x v="1"/>
    <n v="-100"/>
    <s v="Net Banking"/>
    <x v="0"/>
    <s v="Shipped"/>
  </r>
  <r>
    <n v="10213"/>
    <x v="71"/>
    <s v="C1041"/>
    <s v="Amit"/>
    <x v="3"/>
    <x v="4"/>
    <x v="4"/>
    <x v="0"/>
    <x v="0"/>
    <x v="0"/>
    <x v="0"/>
    <n v="799"/>
    <s v="Net Banking"/>
    <x v="0"/>
    <s v="Shipped"/>
  </r>
  <r>
    <n v="10214"/>
    <x v="25"/>
    <s v="C1133"/>
    <s v="Neha"/>
    <x v="3"/>
    <x v="2"/>
    <x v="2"/>
    <x v="3"/>
    <x v="3"/>
    <x v="3"/>
    <x v="1"/>
    <n v="299"/>
    <m/>
    <x v="2"/>
    <s v="Cancelled"/>
  </r>
  <r>
    <n v="10215"/>
    <x v="38"/>
    <s v="C1012"/>
    <s v="Anjali"/>
    <x v="3"/>
    <x v="2"/>
    <x v="2"/>
    <x v="1"/>
    <x v="1"/>
    <x v="1"/>
    <x v="0"/>
    <n v="1999"/>
    <m/>
    <x v="2"/>
    <s v="Delivered"/>
  </r>
  <r>
    <n v="10216"/>
    <x v="74"/>
    <s v="C1171"/>
    <s v="Rahul"/>
    <x v="3"/>
    <x v="2"/>
    <x v="2"/>
    <x v="0"/>
    <x v="4"/>
    <x v="4"/>
    <x v="2"/>
    <n v="499"/>
    <s v="Net Banking"/>
    <x v="0"/>
    <s v="Returned"/>
  </r>
  <r>
    <n v="10217"/>
    <x v="140"/>
    <s v="C1179"/>
    <s v="Neha"/>
    <x v="1"/>
    <x v="1"/>
    <x v="1"/>
    <x v="1"/>
    <x v="1"/>
    <x v="1"/>
    <x v="1"/>
    <n v="1999"/>
    <m/>
    <x v="2"/>
    <s v="Shipped"/>
  </r>
  <r>
    <n v="10218"/>
    <x v="46"/>
    <s v="C1081"/>
    <s v="Rahul"/>
    <x v="1"/>
    <x v="1"/>
    <x v="1"/>
    <x v="0"/>
    <x v="4"/>
    <x v="4"/>
    <x v="1"/>
    <n v="799"/>
    <s v="Net Banking"/>
    <x v="0"/>
    <s v="Delivered"/>
  </r>
  <r>
    <n v="10219"/>
    <x v="70"/>
    <s v="C1179"/>
    <s v="Vikram"/>
    <x v="2"/>
    <x v="2"/>
    <x v="2"/>
    <x v="2"/>
    <x v="6"/>
    <x v="6"/>
    <x v="0"/>
    <n v="499"/>
    <m/>
    <x v="2"/>
    <s v="Cancelled"/>
  </r>
  <r>
    <n v="10220"/>
    <x v="120"/>
    <s v="C1198"/>
    <s v="Rahul"/>
    <x v="0"/>
    <x v="0"/>
    <x v="0"/>
    <x v="1"/>
    <x v="1"/>
    <x v="1"/>
    <x v="0"/>
    <n v="299"/>
    <m/>
    <x v="2"/>
    <s v="Cancelled"/>
  </r>
  <r>
    <n v="10221"/>
    <x v="91"/>
    <s v="C1001"/>
    <s v="Rahul"/>
    <x v="0"/>
    <x v="0"/>
    <x v="0"/>
    <x v="1"/>
    <x v="2"/>
    <x v="2"/>
    <x v="0"/>
    <n v="299"/>
    <s v="Net Banking"/>
    <x v="0"/>
    <s v="Delivered"/>
  </r>
  <r>
    <n v="10222"/>
    <x v="122"/>
    <s v="C1094"/>
    <s v="Karan"/>
    <x v="5"/>
    <x v="5"/>
    <x v="5"/>
    <x v="3"/>
    <x v="7"/>
    <x v="7"/>
    <x v="1"/>
    <n v="499"/>
    <s v="Cash on Delivery"/>
    <x v="1"/>
    <s v="Delivered"/>
  </r>
  <r>
    <n v="10223"/>
    <x v="141"/>
    <s v="C1013"/>
    <s v="Anjali"/>
    <x v="2"/>
    <x v="2"/>
    <x v="2"/>
    <x v="0"/>
    <x v="0"/>
    <x v="0"/>
    <x v="2"/>
    <n v="299"/>
    <s v="Card"/>
    <x v="3"/>
    <s v="Cancelled"/>
  </r>
  <r>
    <n v="10224"/>
    <x v="84"/>
    <s v="C1074"/>
    <s v="Karan"/>
    <x v="0"/>
    <x v="0"/>
    <x v="0"/>
    <x v="0"/>
    <x v="4"/>
    <x v="4"/>
    <x v="2"/>
    <n v="1999"/>
    <s v="Cash on Delivery"/>
    <x v="1"/>
    <s v="Shipped"/>
  </r>
  <r>
    <n v="10225"/>
    <x v="104"/>
    <s v="C1063"/>
    <s v="Neha"/>
    <x v="4"/>
    <x v="1"/>
    <x v="1"/>
    <x v="2"/>
    <x v="3"/>
    <x v="3"/>
    <x v="0"/>
    <n v="799"/>
    <m/>
    <x v="2"/>
    <s v="Shipped"/>
  </r>
  <r>
    <n v="10226"/>
    <x v="142"/>
    <s v="C1139"/>
    <s v="Priya"/>
    <x v="0"/>
    <x v="3"/>
    <x v="3"/>
    <x v="0"/>
    <x v="4"/>
    <x v="4"/>
    <x v="2"/>
    <n v="499"/>
    <s v="Cash on Delivery"/>
    <x v="1"/>
    <s v="Returned"/>
  </r>
  <r>
    <n v="10227"/>
    <x v="121"/>
    <s v="C1144"/>
    <s v="Anjali"/>
    <x v="5"/>
    <x v="5"/>
    <x v="5"/>
    <x v="3"/>
    <x v="7"/>
    <x v="7"/>
    <x v="2"/>
    <n v="799"/>
    <m/>
    <x v="2"/>
    <s v="Delivered"/>
  </r>
  <r>
    <n v="10228"/>
    <x v="143"/>
    <s v="C1161"/>
    <s v="Neha"/>
    <x v="2"/>
    <x v="2"/>
    <x v="2"/>
    <x v="3"/>
    <x v="3"/>
    <x v="3"/>
    <x v="0"/>
    <n v="299"/>
    <s v="Net Banking"/>
    <x v="0"/>
    <s v="Returned"/>
  </r>
  <r>
    <n v="10229"/>
    <x v="135"/>
    <s v="C1093"/>
    <s v="Rahul"/>
    <x v="1"/>
    <x v="1"/>
    <x v="1"/>
    <x v="0"/>
    <x v="0"/>
    <x v="0"/>
    <x v="1"/>
    <n v="799"/>
    <m/>
    <x v="2"/>
    <s v="Shipped"/>
  </r>
  <r>
    <n v="10230"/>
    <x v="90"/>
    <s v="C1096"/>
    <s v="Anjali"/>
    <x v="2"/>
    <x v="2"/>
    <x v="2"/>
    <x v="1"/>
    <x v="2"/>
    <x v="2"/>
    <x v="3"/>
    <n v="299"/>
    <s v="Net Banking"/>
    <x v="0"/>
    <s v="Shipped"/>
  </r>
  <r>
    <n v="10231"/>
    <x v="144"/>
    <s v="C1072"/>
    <s v="Karan"/>
    <x v="1"/>
    <x v="1"/>
    <x v="1"/>
    <x v="1"/>
    <x v="2"/>
    <x v="2"/>
    <x v="2"/>
    <n v="499"/>
    <s v="Cash on Delivery"/>
    <x v="1"/>
    <s v="Shipped"/>
  </r>
  <r>
    <n v="10232"/>
    <x v="111"/>
    <s v="C1089"/>
    <s v="Amit"/>
    <x v="6"/>
    <x v="2"/>
    <x v="2"/>
    <x v="2"/>
    <x v="6"/>
    <x v="6"/>
    <x v="2"/>
    <n v="1299"/>
    <s v="Net Banking"/>
    <x v="0"/>
    <s v="Shipped"/>
  </r>
  <r>
    <n v="10233"/>
    <x v="128"/>
    <s v="C1158"/>
    <s v="Karan"/>
    <x v="0"/>
    <x v="0"/>
    <x v="0"/>
    <x v="0"/>
    <x v="4"/>
    <x v="4"/>
    <x v="0"/>
    <n v="1999"/>
    <s v="Cash on Delivery"/>
    <x v="1"/>
    <s v="Shipped"/>
  </r>
  <r>
    <n v="10234"/>
    <x v="111"/>
    <s v="C1088"/>
    <s v="Karan"/>
    <x v="3"/>
    <x v="2"/>
    <x v="2"/>
    <x v="1"/>
    <x v="2"/>
    <x v="2"/>
    <x v="4"/>
    <n v="1299"/>
    <m/>
    <x v="2"/>
    <s v="Shipped"/>
  </r>
  <r>
    <n v="10235"/>
    <x v="61"/>
    <s v="C1026"/>
    <s v="Priya"/>
    <x v="0"/>
    <x v="0"/>
    <x v="0"/>
    <x v="1"/>
    <x v="1"/>
    <x v="1"/>
    <x v="2"/>
    <n v="999999"/>
    <m/>
    <x v="2"/>
    <s v="Cancelled"/>
  </r>
  <r>
    <n v="10236"/>
    <x v="128"/>
    <s v="C1095"/>
    <s v="Anjali"/>
    <x v="0"/>
    <x v="0"/>
    <x v="0"/>
    <x v="1"/>
    <x v="1"/>
    <x v="1"/>
    <x v="2"/>
    <n v="1999"/>
    <m/>
    <x v="2"/>
    <s v="Returned"/>
  </r>
  <r>
    <n v="10237"/>
    <x v="72"/>
    <s v="C1196"/>
    <s v="Vikram"/>
    <x v="2"/>
    <x v="4"/>
    <x v="4"/>
    <x v="0"/>
    <x v="4"/>
    <x v="4"/>
    <x v="5"/>
    <n v="799"/>
    <m/>
    <x v="2"/>
    <s v="Cancelled"/>
  </r>
  <r>
    <n v="10238"/>
    <x v="145"/>
    <s v="C1191"/>
    <s v="Rahul"/>
    <x v="1"/>
    <x v="1"/>
    <x v="1"/>
    <x v="0"/>
    <x v="4"/>
    <x v="4"/>
    <x v="0"/>
    <n v="1999"/>
    <s v="Card"/>
    <x v="3"/>
    <s v="Shipped"/>
  </r>
  <r>
    <n v="10239"/>
    <x v="20"/>
    <s v="C1028"/>
    <s v="Karan"/>
    <x v="0"/>
    <x v="0"/>
    <x v="0"/>
    <x v="2"/>
    <x v="7"/>
    <x v="7"/>
    <x v="4"/>
    <n v="499"/>
    <s v="Cash on Delivery"/>
    <x v="1"/>
    <s v="Cancelled"/>
  </r>
  <r>
    <n v="10240"/>
    <x v="81"/>
    <s v="C1167"/>
    <s v="Priya"/>
    <x v="5"/>
    <x v="5"/>
    <x v="5"/>
    <x v="0"/>
    <x v="4"/>
    <x v="4"/>
    <x v="0"/>
    <n v="1999"/>
    <s v="Card"/>
    <x v="3"/>
    <s v="Cancelled"/>
  </r>
  <r>
    <n v="10241"/>
    <x v="41"/>
    <s v="C1162"/>
    <s v="Vikram"/>
    <x v="2"/>
    <x v="4"/>
    <x v="4"/>
    <x v="1"/>
    <x v="1"/>
    <x v="1"/>
    <x v="4"/>
    <n v="1999"/>
    <s v="Card"/>
    <x v="3"/>
    <s v="Cancelled"/>
  </r>
  <r>
    <n v="10242"/>
    <x v="146"/>
    <s v="C1165"/>
    <s v="Sneha"/>
    <x v="3"/>
    <x v="2"/>
    <x v="2"/>
    <x v="0"/>
    <x v="0"/>
    <x v="0"/>
    <x v="0"/>
    <n v="499"/>
    <m/>
    <x v="2"/>
    <s v="Delivered"/>
  </r>
  <r>
    <n v="10243"/>
    <x v="32"/>
    <s v="C1082"/>
    <s v="Priya"/>
    <x v="2"/>
    <x v="2"/>
    <x v="2"/>
    <x v="1"/>
    <x v="1"/>
    <x v="1"/>
    <x v="4"/>
    <n v="1299"/>
    <s v="Card"/>
    <x v="3"/>
    <s v="Shipped"/>
  </r>
  <r>
    <n v="10244"/>
    <x v="64"/>
    <s v="C1121"/>
    <s v="Priya"/>
    <x v="2"/>
    <x v="4"/>
    <x v="4"/>
    <x v="0"/>
    <x v="4"/>
    <x v="4"/>
    <x v="1"/>
    <n v="999999"/>
    <m/>
    <x v="2"/>
    <s v="Cancelled"/>
  </r>
  <r>
    <n v="10245"/>
    <x v="143"/>
    <s v="C1060"/>
    <s v="Neha"/>
    <x v="5"/>
    <x v="5"/>
    <x v="5"/>
    <x v="1"/>
    <x v="2"/>
    <x v="2"/>
    <x v="0"/>
    <n v="799"/>
    <m/>
    <x v="2"/>
    <s v="Delivered"/>
  </r>
  <r>
    <n v="10246"/>
    <x v="74"/>
    <s v="C1198"/>
    <s v="Rahul"/>
    <x v="2"/>
    <x v="4"/>
    <x v="4"/>
    <x v="0"/>
    <x v="4"/>
    <x v="4"/>
    <x v="7"/>
    <n v="1299"/>
    <s v="Cash on Delivery"/>
    <x v="1"/>
    <s v="Delivered"/>
  </r>
  <r>
    <n v="10247"/>
    <x v="4"/>
    <s v="C1014"/>
    <s v="Rahul"/>
    <x v="4"/>
    <x v="1"/>
    <x v="1"/>
    <x v="1"/>
    <x v="2"/>
    <x v="2"/>
    <x v="3"/>
    <n v="799"/>
    <s v="Card"/>
    <x v="3"/>
    <s v="Returned"/>
  </r>
  <r>
    <n v="10248"/>
    <x v="89"/>
    <s v="C1064"/>
    <s v="Priya"/>
    <x v="5"/>
    <x v="5"/>
    <x v="5"/>
    <x v="0"/>
    <x v="4"/>
    <x v="4"/>
    <x v="0"/>
    <n v="1299"/>
    <s v="Net Banking"/>
    <x v="0"/>
    <s v="Returned"/>
  </r>
  <r>
    <n v="10249"/>
    <x v="70"/>
    <s v="C1174"/>
    <s v="Vikram"/>
    <x v="5"/>
    <x v="5"/>
    <x v="5"/>
    <x v="1"/>
    <x v="2"/>
    <x v="2"/>
    <x v="2"/>
    <n v="1299"/>
    <m/>
    <x v="2"/>
    <s v="Returned"/>
  </r>
  <r>
    <n v="10250"/>
    <x v="7"/>
    <s v="C1051"/>
    <s v="Sneha"/>
    <x v="7"/>
    <x v="4"/>
    <x v="4"/>
    <x v="2"/>
    <x v="6"/>
    <x v="6"/>
    <x v="7"/>
    <n v="1299"/>
    <m/>
    <x v="2"/>
    <s v="Shipped"/>
  </r>
  <r>
    <n v="10251"/>
    <x v="71"/>
    <s v="C1001"/>
    <s v="Vikram"/>
    <x v="7"/>
    <x v="2"/>
    <x v="2"/>
    <x v="0"/>
    <x v="0"/>
    <x v="0"/>
    <x v="3"/>
    <n v="499"/>
    <m/>
    <x v="2"/>
    <s v="Cancelled"/>
  </r>
  <r>
    <n v="10252"/>
    <x v="147"/>
    <s v="C1032"/>
    <s v="Sneha"/>
    <x v="0"/>
    <x v="0"/>
    <x v="0"/>
    <x v="3"/>
    <x v="7"/>
    <x v="7"/>
    <x v="4"/>
    <n v="1299"/>
    <s v="Net Banking"/>
    <x v="0"/>
    <s v="Returned"/>
  </r>
  <r>
    <n v="10253"/>
    <x v="111"/>
    <s v="C1113"/>
    <s v="Vikram"/>
    <x v="0"/>
    <x v="0"/>
    <x v="0"/>
    <x v="1"/>
    <x v="1"/>
    <x v="1"/>
    <x v="2"/>
    <n v="299"/>
    <m/>
    <x v="2"/>
    <s v="Delivered"/>
  </r>
  <r>
    <n v="10254"/>
    <x v="140"/>
    <s v="C1115"/>
    <s v="Anjali"/>
    <x v="0"/>
    <x v="0"/>
    <x v="0"/>
    <x v="0"/>
    <x v="4"/>
    <x v="4"/>
    <x v="1"/>
    <n v="799"/>
    <s v="Card"/>
    <x v="3"/>
    <s v="Shipped"/>
  </r>
  <r>
    <n v="10255"/>
    <x v="94"/>
    <s v="C1013"/>
    <s v="Vikram"/>
    <x v="0"/>
    <x v="0"/>
    <x v="0"/>
    <x v="0"/>
    <x v="0"/>
    <x v="0"/>
    <x v="3"/>
    <n v="1999"/>
    <s v="Net Banking"/>
    <x v="0"/>
    <s v="Shipped"/>
  </r>
  <r>
    <n v="10256"/>
    <x v="29"/>
    <s v="C1196"/>
    <s v="Anjali"/>
    <x v="5"/>
    <x v="5"/>
    <x v="5"/>
    <x v="1"/>
    <x v="2"/>
    <x v="2"/>
    <x v="2"/>
    <n v="1299"/>
    <m/>
    <x v="2"/>
    <s v="Cancelled"/>
  </r>
  <r>
    <n v="10257"/>
    <x v="75"/>
    <s v="C1081"/>
    <s v="Priya"/>
    <x v="2"/>
    <x v="2"/>
    <x v="2"/>
    <x v="2"/>
    <x v="6"/>
    <x v="6"/>
    <x v="4"/>
    <n v="299"/>
    <s v="Cash on Delivery"/>
    <x v="1"/>
    <s v="Shipped"/>
  </r>
  <r>
    <n v="10258"/>
    <x v="126"/>
    <s v="C1046"/>
    <s v="Amit"/>
    <x v="2"/>
    <x v="2"/>
    <x v="2"/>
    <x v="2"/>
    <x v="7"/>
    <x v="7"/>
    <x v="0"/>
    <n v="299"/>
    <m/>
    <x v="2"/>
    <s v="Cancelled"/>
  </r>
  <r>
    <n v="10259"/>
    <x v="90"/>
    <s v="C1073"/>
    <s v="Vikram"/>
    <x v="5"/>
    <x v="5"/>
    <x v="5"/>
    <x v="1"/>
    <x v="2"/>
    <x v="2"/>
    <x v="4"/>
    <n v="299"/>
    <s v="Net Banking"/>
    <x v="0"/>
    <s v="Returned"/>
  </r>
  <r>
    <n v="10260"/>
    <x v="108"/>
    <s v="C1062"/>
    <s v="Amit"/>
    <x v="6"/>
    <x v="4"/>
    <x v="4"/>
    <x v="0"/>
    <x v="0"/>
    <x v="0"/>
    <x v="1"/>
    <n v="1999"/>
    <m/>
    <x v="2"/>
    <s v="Delivered"/>
  </r>
  <r>
    <n v="10261"/>
    <x v="148"/>
    <s v="C1200"/>
    <s v="Priya"/>
    <x v="3"/>
    <x v="2"/>
    <x v="2"/>
    <x v="3"/>
    <x v="6"/>
    <x v="6"/>
    <x v="4"/>
    <n v="1299"/>
    <s v="Card"/>
    <x v="3"/>
    <s v="Cancelled"/>
  </r>
  <r>
    <n v="10262"/>
    <x v="122"/>
    <s v="C1054"/>
    <s v="Vikram"/>
    <x v="1"/>
    <x v="1"/>
    <x v="1"/>
    <x v="0"/>
    <x v="4"/>
    <x v="4"/>
    <x v="0"/>
    <n v="1299"/>
    <s v="Card"/>
    <x v="3"/>
    <s v="Cancelled"/>
  </r>
  <r>
    <n v="10263"/>
    <x v="149"/>
    <s v="C1089"/>
    <s v="Sneha"/>
    <x v="4"/>
    <x v="1"/>
    <x v="1"/>
    <x v="2"/>
    <x v="7"/>
    <x v="7"/>
    <x v="4"/>
    <n v="1999"/>
    <s v="Card"/>
    <x v="3"/>
    <s v="Delivered"/>
  </r>
  <r>
    <n v="10264"/>
    <x v="150"/>
    <s v="C1007"/>
    <s v="Neha"/>
    <x v="0"/>
    <x v="0"/>
    <x v="0"/>
    <x v="0"/>
    <x v="0"/>
    <x v="0"/>
    <x v="0"/>
    <n v="499"/>
    <m/>
    <x v="2"/>
    <s v="Cancelled"/>
  </r>
  <r>
    <n v="10265"/>
    <x v="0"/>
    <s v="C1108"/>
    <s v="Karan"/>
    <x v="2"/>
    <x v="4"/>
    <x v="4"/>
    <x v="0"/>
    <x v="0"/>
    <x v="0"/>
    <x v="3"/>
    <n v="499"/>
    <m/>
    <x v="2"/>
    <s v="Shipped"/>
  </r>
  <r>
    <n v="10266"/>
    <x v="108"/>
    <s v="C1171"/>
    <s v="Karan"/>
    <x v="5"/>
    <x v="5"/>
    <x v="5"/>
    <x v="2"/>
    <x v="3"/>
    <x v="3"/>
    <x v="2"/>
    <n v="799"/>
    <s v="Card"/>
    <x v="3"/>
    <s v="Delivered"/>
  </r>
  <r>
    <n v="10267"/>
    <x v="14"/>
    <s v="C1127"/>
    <s v="Amit"/>
    <x v="0"/>
    <x v="0"/>
    <x v="0"/>
    <x v="0"/>
    <x v="4"/>
    <x v="4"/>
    <x v="4"/>
    <n v="799"/>
    <m/>
    <x v="2"/>
    <s v="Returned"/>
  </r>
  <r>
    <n v="10268"/>
    <x v="151"/>
    <s v="C1044"/>
    <s v="Vikram"/>
    <x v="0"/>
    <x v="0"/>
    <x v="0"/>
    <x v="0"/>
    <x v="4"/>
    <x v="4"/>
    <x v="4"/>
    <n v="799"/>
    <s v="Cash on Delivery"/>
    <x v="1"/>
    <s v="Cancelled"/>
  </r>
  <r>
    <n v="10269"/>
    <x v="44"/>
    <s v="C1184"/>
    <s v="Amit"/>
    <x v="5"/>
    <x v="5"/>
    <x v="5"/>
    <x v="1"/>
    <x v="1"/>
    <x v="1"/>
    <x v="0"/>
    <n v="499"/>
    <s v="Card"/>
    <x v="3"/>
    <s v="Cancelled"/>
  </r>
  <r>
    <n v="10270"/>
    <x v="110"/>
    <s v="C1060"/>
    <s v="Karan"/>
    <x v="7"/>
    <x v="2"/>
    <x v="2"/>
    <x v="0"/>
    <x v="0"/>
    <x v="0"/>
    <x v="3"/>
    <n v="299"/>
    <s v="Net Banking"/>
    <x v="0"/>
    <s v="Delivered"/>
  </r>
  <r>
    <n v="10271"/>
    <x v="152"/>
    <s v="C1092"/>
    <s v="Vikram"/>
    <x v="5"/>
    <x v="5"/>
    <x v="5"/>
    <x v="1"/>
    <x v="1"/>
    <x v="1"/>
    <x v="4"/>
    <n v="799"/>
    <s v="Card"/>
    <x v="3"/>
    <s v="Shipped"/>
  </r>
  <r>
    <n v="10272"/>
    <x v="41"/>
    <s v="C1039"/>
    <s v="Priya"/>
    <x v="6"/>
    <x v="2"/>
    <x v="2"/>
    <x v="3"/>
    <x v="7"/>
    <x v="7"/>
    <x v="4"/>
    <n v="1299"/>
    <m/>
    <x v="2"/>
    <s v="Cancelled"/>
  </r>
  <r>
    <n v="10273"/>
    <x v="18"/>
    <s v="C1073"/>
    <s v="Anjali"/>
    <x v="5"/>
    <x v="5"/>
    <x v="5"/>
    <x v="1"/>
    <x v="1"/>
    <x v="1"/>
    <x v="0"/>
    <n v="1999"/>
    <s v="Net Banking"/>
    <x v="0"/>
    <s v="Cancelled"/>
  </r>
  <r>
    <n v="10274"/>
    <x v="153"/>
    <s v="C1148"/>
    <s v="Vikram"/>
    <x v="3"/>
    <x v="4"/>
    <x v="4"/>
    <x v="0"/>
    <x v="4"/>
    <x v="4"/>
    <x v="0"/>
    <n v="1299"/>
    <s v="Net Banking"/>
    <x v="0"/>
    <s v="Shipped"/>
  </r>
  <r>
    <n v="10275"/>
    <x v="154"/>
    <s v="C1051"/>
    <s v="Vikram"/>
    <x v="6"/>
    <x v="2"/>
    <x v="2"/>
    <x v="1"/>
    <x v="2"/>
    <x v="2"/>
    <x v="3"/>
    <n v="499"/>
    <m/>
    <x v="2"/>
    <s v="Cancelled"/>
  </r>
  <r>
    <n v="10276"/>
    <x v="61"/>
    <s v="C1117"/>
    <s v="Neha"/>
    <x v="5"/>
    <x v="5"/>
    <x v="5"/>
    <x v="2"/>
    <x v="7"/>
    <x v="7"/>
    <x v="0"/>
    <n v="799"/>
    <m/>
    <x v="2"/>
    <s v="Returned"/>
  </r>
  <r>
    <n v="10277"/>
    <x v="155"/>
    <s v="C1158"/>
    <s v="Sneha"/>
    <x v="2"/>
    <x v="2"/>
    <x v="2"/>
    <x v="0"/>
    <x v="4"/>
    <x v="4"/>
    <x v="1"/>
    <n v="799"/>
    <m/>
    <x v="2"/>
    <s v="Shipped"/>
  </r>
  <r>
    <n v="10278"/>
    <x v="119"/>
    <s v="C1186"/>
    <s v="Vikram"/>
    <x v="3"/>
    <x v="2"/>
    <x v="2"/>
    <x v="2"/>
    <x v="3"/>
    <x v="3"/>
    <x v="1"/>
    <n v="799"/>
    <s v="Cash on Delivery"/>
    <x v="1"/>
    <s v="Returned"/>
  </r>
  <r>
    <n v="10279"/>
    <x v="76"/>
    <s v="C1140"/>
    <s v="Priya"/>
    <x v="3"/>
    <x v="2"/>
    <x v="2"/>
    <x v="2"/>
    <x v="3"/>
    <x v="3"/>
    <x v="0"/>
    <n v="1999"/>
    <s v="Cash on Delivery"/>
    <x v="1"/>
    <s v="Shipped"/>
  </r>
  <r>
    <n v="10280"/>
    <x v="156"/>
    <s v="C1111"/>
    <s v="Vikram"/>
    <x v="4"/>
    <x v="1"/>
    <x v="1"/>
    <x v="1"/>
    <x v="2"/>
    <x v="2"/>
    <x v="3"/>
    <n v="299"/>
    <s v="Cash on Delivery"/>
    <x v="1"/>
    <s v="Delivered"/>
  </r>
  <r>
    <n v="10281"/>
    <x v="157"/>
    <s v="C1068"/>
    <s v="Neha"/>
    <x v="1"/>
    <x v="1"/>
    <x v="1"/>
    <x v="1"/>
    <x v="2"/>
    <x v="2"/>
    <x v="3"/>
    <n v="799"/>
    <m/>
    <x v="2"/>
    <s v="Cancelled"/>
  </r>
  <r>
    <n v="10282"/>
    <x v="139"/>
    <s v="C1039"/>
    <s v="Anjali"/>
    <x v="0"/>
    <x v="0"/>
    <x v="0"/>
    <x v="0"/>
    <x v="4"/>
    <x v="4"/>
    <x v="3"/>
    <n v="299"/>
    <s v="Net Banking"/>
    <x v="0"/>
    <s v="Delivered"/>
  </r>
  <r>
    <n v="10283"/>
    <x v="139"/>
    <s v="C1183"/>
    <s v="Neha"/>
    <x v="5"/>
    <x v="5"/>
    <x v="5"/>
    <x v="0"/>
    <x v="0"/>
    <x v="0"/>
    <x v="0"/>
    <n v="499"/>
    <s v="Cash on Delivery"/>
    <x v="1"/>
    <s v="Delivered"/>
  </r>
  <r>
    <n v="10284"/>
    <x v="158"/>
    <s v="C1010"/>
    <s v="Amit"/>
    <x v="1"/>
    <x v="1"/>
    <x v="1"/>
    <x v="2"/>
    <x v="7"/>
    <x v="7"/>
    <x v="3"/>
    <n v="799"/>
    <s v="Cash on Delivery"/>
    <x v="1"/>
    <s v="Cancelled"/>
  </r>
  <r>
    <n v="10285"/>
    <x v="159"/>
    <s v="C1038"/>
    <s v="Anjali"/>
    <x v="6"/>
    <x v="4"/>
    <x v="4"/>
    <x v="1"/>
    <x v="2"/>
    <x v="2"/>
    <x v="2"/>
    <n v="1299"/>
    <s v="Card"/>
    <x v="3"/>
    <s v="Cancelled"/>
  </r>
  <r>
    <n v="10286"/>
    <x v="58"/>
    <s v="C1029"/>
    <s v="Amit"/>
    <x v="2"/>
    <x v="2"/>
    <x v="2"/>
    <x v="2"/>
    <x v="7"/>
    <x v="7"/>
    <x v="4"/>
    <n v="1999"/>
    <m/>
    <x v="2"/>
    <s v="Shipped"/>
  </r>
  <r>
    <n v="10287"/>
    <x v="84"/>
    <s v="C1121"/>
    <s v="Rahul"/>
    <x v="5"/>
    <x v="5"/>
    <x v="5"/>
    <x v="0"/>
    <x v="4"/>
    <x v="4"/>
    <x v="3"/>
    <n v="799"/>
    <m/>
    <x v="2"/>
    <s v="Cancelled"/>
  </r>
  <r>
    <n v="10288"/>
    <x v="0"/>
    <s v="C1115"/>
    <s v="Rahul"/>
    <x v="3"/>
    <x v="3"/>
    <x v="3"/>
    <x v="2"/>
    <x v="7"/>
    <x v="7"/>
    <x v="4"/>
    <n v="1299"/>
    <s v="Cash on Delivery"/>
    <x v="1"/>
    <s v="Delivered"/>
  </r>
  <r>
    <n v="10289"/>
    <x v="160"/>
    <s v="C1143"/>
    <s v="Anjali"/>
    <x v="2"/>
    <x v="2"/>
    <x v="2"/>
    <x v="0"/>
    <x v="0"/>
    <x v="0"/>
    <x v="2"/>
    <n v="299"/>
    <s v="Card"/>
    <x v="3"/>
    <s v="Shipped"/>
  </r>
  <r>
    <n v="10290"/>
    <x v="40"/>
    <s v="C1084"/>
    <s v="Neha"/>
    <x v="0"/>
    <x v="0"/>
    <x v="0"/>
    <x v="2"/>
    <x v="3"/>
    <x v="3"/>
    <x v="2"/>
    <n v="499"/>
    <s v="Card"/>
    <x v="3"/>
    <s v="Cancelled"/>
  </r>
  <r>
    <n v="10291"/>
    <x v="73"/>
    <s v="C1155"/>
    <s v="Anjali"/>
    <x v="2"/>
    <x v="4"/>
    <x v="4"/>
    <x v="0"/>
    <x v="4"/>
    <x v="4"/>
    <x v="1"/>
    <n v="1299"/>
    <m/>
    <x v="2"/>
    <s v="Delivered"/>
  </r>
  <r>
    <n v="10292"/>
    <x v="25"/>
    <s v="C1094"/>
    <s v="Karan"/>
    <x v="3"/>
    <x v="4"/>
    <x v="4"/>
    <x v="0"/>
    <x v="0"/>
    <x v="0"/>
    <x v="0"/>
    <n v="1999"/>
    <s v="Card"/>
    <x v="3"/>
    <s v="Cancelled"/>
  </r>
  <r>
    <n v="10293"/>
    <x v="82"/>
    <s v="C1072"/>
    <s v="Vikram"/>
    <x v="1"/>
    <x v="1"/>
    <x v="1"/>
    <x v="0"/>
    <x v="0"/>
    <x v="0"/>
    <x v="0"/>
    <n v="299"/>
    <s v="Cash on Delivery"/>
    <x v="1"/>
    <s v="Cancelled"/>
  </r>
  <r>
    <n v="10294"/>
    <x v="37"/>
    <s v="C1053"/>
    <s v="Amit"/>
    <x v="2"/>
    <x v="4"/>
    <x v="4"/>
    <x v="0"/>
    <x v="0"/>
    <x v="0"/>
    <x v="0"/>
    <n v="1999"/>
    <m/>
    <x v="2"/>
    <s v="Shipped"/>
  </r>
  <r>
    <n v="10295"/>
    <x v="111"/>
    <s v="C1152"/>
    <s v="Vikram"/>
    <x v="0"/>
    <x v="0"/>
    <x v="0"/>
    <x v="1"/>
    <x v="2"/>
    <x v="2"/>
    <x v="3"/>
    <n v="499"/>
    <s v="Card"/>
    <x v="3"/>
    <s v="Cancelled"/>
  </r>
  <r>
    <n v="10296"/>
    <x v="161"/>
    <s v="C1177"/>
    <s v="Amit"/>
    <x v="0"/>
    <x v="3"/>
    <x v="3"/>
    <x v="0"/>
    <x v="0"/>
    <x v="0"/>
    <x v="4"/>
    <n v="1299"/>
    <m/>
    <x v="2"/>
    <s v="Cancelled"/>
  </r>
  <r>
    <n v="10297"/>
    <x v="67"/>
    <s v="C1084"/>
    <s v="Amit"/>
    <x v="6"/>
    <x v="2"/>
    <x v="2"/>
    <x v="0"/>
    <x v="0"/>
    <x v="0"/>
    <x v="2"/>
    <n v="299"/>
    <s v="Card"/>
    <x v="3"/>
    <s v="Delivered"/>
  </r>
  <r>
    <n v="10298"/>
    <x v="162"/>
    <s v="C1049"/>
    <s v="Priya"/>
    <x v="2"/>
    <x v="2"/>
    <x v="2"/>
    <x v="0"/>
    <x v="4"/>
    <x v="4"/>
    <x v="2"/>
    <n v="1999"/>
    <s v="Card"/>
    <x v="3"/>
    <s v="Delivered"/>
  </r>
  <r>
    <n v="10299"/>
    <x v="163"/>
    <s v="C1186"/>
    <s v="Amit"/>
    <x v="5"/>
    <x v="5"/>
    <x v="5"/>
    <x v="2"/>
    <x v="6"/>
    <x v="6"/>
    <x v="4"/>
    <n v="1299"/>
    <m/>
    <x v="2"/>
    <s v="Cancelled"/>
  </r>
  <r>
    <n v="10300"/>
    <x v="82"/>
    <s v="C1067"/>
    <s v="Vikram"/>
    <x v="0"/>
    <x v="0"/>
    <x v="0"/>
    <x v="0"/>
    <x v="0"/>
    <x v="0"/>
    <x v="2"/>
    <n v="1999"/>
    <m/>
    <x v="2"/>
    <s v="Shipped"/>
  </r>
  <r>
    <n v="10301"/>
    <x v="82"/>
    <s v="C1022"/>
    <s v="Priya"/>
    <x v="2"/>
    <x v="2"/>
    <x v="2"/>
    <x v="3"/>
    <x v="3"/>
    <x v="3"/>
    <x v="1"/>
    <n v="499"/>
    <s v="Card"/>
    <x v="3"/>
    <s v="Returned"/>
  </r>
  <r>
    <n v="10302"/>
    <x v="89"/>
    <s v="C1130"/>
    <s v="Priya"/>
    <x v="4"/>
    <x v="1"/>
    <x v="1"/>
    <x v="1"/>
    <x v="1"/>
    <x v="1"/>
    <x v="4"/>
    <n v="499"/>
    <s v="Card"/>
    <x v="3"/>
    <s v="Shipped"/>
  </r>
  <r>
    <n v="10303"/>
    <x v="97"/>
    <s v="C1175"/>
    <s v="Amit"/>
    <x v="4"/>
    <x v="1"/>
    <x v="1"/>
    <x v="1"/>
    <x v="1"/>
    <x v="1"/>
    <x v="1"/>
    <n v="299"/>
    <s v="Net Banking"/>
    <x v="0"/>
    <s v="Shipped"/>
  </r>
  <r>
    <n v="10304"/>
    <x v="164"/>
    <s v="C1140"/>
    <s v="Sneha"/>
    <x v="5"/>
    <x v="5"/>
    <x v="5"/>
    <x v="0"/>
    <x v="0"/>
    <x v="0"/>
    <x v="0"/>
    <n v="499"/>
    <s v="Cash on Delivery"/>
    <x v="1"/>
    <s v="Returned"/>
  </r>
  <r>
    <n v="10305"/>
    <x v="11"/>
    <s v="C1073"/>
    <s v="Anjali"/>
    <x v="4"/>
    <x v="1"/>
    <x v="1"/>
    <x v="2"/>
    <x v="3"/>
    <x v="3"/>
    <x v="1"/>
    <n v="1999"/>
    <m/>
    <x v="2"/>
    <s v="Returned"/>
  </r>
  <r>
    <n v="10306"/>
    <x v="165"/>
    <s v="C1088"/>
    <s v="Sneha"/>
    <x v="7"/>
    <x v="4"/>
    <x v="4"/>
    <x v="0"/>
    <x v="0"/>
    <x v="0"/>
    <x v="3"/>
    <n v="1999"/>
    <s v="Card"/>
    <x v="3"/>
    <s v="Shipped"/>
  </r>
  <r>
    <n v="10307"/>
    <x v="74"/>
    <s v="C1074"/>
    <s v="Priya"/>
    <x v="5"/>
    <x v="5"/>
    <x v="5"/>
    <x v="1"/>
    <x v="5"/>
    <x v="5"/>
    <x v="2"/>
    <n v="1299"/>
    <s v="Cash on Delivery"/>
    <x v="1"/>
    <s v="Shipped"/>
  </r>
  <r>
    <n v="10308"/>
    <x v="166"/>
    <s v="C1116"/>
    <s v="Vikram"/>
    <x v="0"/>
    <x v="0"/>
    <x v="0"/>
    <x v="1"/>
    <x v="2"/>
    <x v="2"/>
    <x v="0"/>
    <n v="1999"/>
    <s v="Cash on Delivery"/>
    <x v="1"/>
    <s v="Delivered"/>
  </r>
  <r>
    <n v="10309"/>
    <x v="53"/>
    <s v="C1122"/>
    <s v="Priya"/>
    <x v="2"/>
    <x v="2"/>
    <x v="2"/>
    <x v="1"/>
    <x v="2"/>
    <x v="2"/>
    <x v="0"/>
    <n v="499"/>
    <s v="Cash on Delivery"/>
    <x v="1"/>
    <s v="Cancelled"/>
  </r>
  <r>
    <n v="10310"/>
    <x v="164"/>
    <s v="C1105"/>
    <s v="Vikram"/>
    <x v="3"/>
    <x v="2"/>
    <x v="2"/>
    <x v="2"/>
    <x v="6"/>
    <x v="6"/>
    <x v="3"/>
    <n v="299"/>
    <s v="Card"/>
    <x v="3"/>
    <s v="Returned"/>
  </r>
  <r>
    <n v="10311"/>
    <x v="102"/>
    <s v="C1147"/>
    <s v="Neha"/>
    <x v="4"/>
    <x v="1"/>
    <x v="1"/>
    <x v="0"/>
    <x v="4"/>
    <x v="4"/>
    <x v="0"/>
    <n v="799"/>
    <s v="Net Banking"/>
    <x v="0"/>
    <s v="Delivered"/>
  </r>
  <r>
    <n v="10312"/>
    <x v="64"/>
    <s v="C1023"/>
    <s v="Priya"/>
    <x v="6"/>
    <x v="2"/>
    <x v="2"/>
    <x v="0"/>
    <x v="4"/>
    <x v="4"/>
    <x v="0"/>
    <n v="1999"/>
    <m/>
    <x v="2"/>
    <s v="Shipped"/>
  </r>
  <r>
    <n v="10313"/>
    <x v="4"/>
    <s v="C1133"/>
    <s v="Karan"/>
    <x v="4"/>
    <x v="1"/>
    <x v="1"/>
    <x v="0"/>
    <x v="4"/>
    <x v="4"/>
    <x v="3"/>
    <n v="499"/>
    <s v="Net Banking"/>
    <x v="0"/>
    <s v="Returned"/>
  </r>
  <r>
    <n v="10314"/>
    <x v="152"/>
    <s v="C1010"/>
    <s v="Anjali"/>
    <x v="0"/>
    <x v="0"/>
    <x v="0"/>
    <x v="1"/>
    <x v="2"/>
    <x v="2"/>
    <x v="1"/>
    <n v="299"/>
    <m/>
    <x v="2"/>
    <s v="Cancelled"/>
  </r>
  <r>
    <n v="10315"/>
    <x v="167"/>
    <s v="C1101"/>
    <s v="Anjali"/>
    <x v="2"/>
    <x v="2"/>
    <x v="2"/>
    <x v="2"/>
    <x v="3"/>
    <x v="3"/>
    <x v="4"/>
    <n v="299"/>
    <s v="Card"/>
    <x v="3"/>
    <s v="Returned"/>
  </r>
  <r>
    <n v="10316"/>
    <x v="42"/>
    <s v="C1172"/>
    <s v="Sneha"/>
    <x v="6"/>
    <x v="4"/>
    <x v="4"/>
    <x v="1"/>
    <x v="1"/>
    <x v="1"/>
    <x v="3"/>
    <n v="799"/>
    <m/>
    <x v="2"/>
    <s v="Shipped"/>
  </r>
  <r>
    <n v="10317"/>
    <x v="139"/>
    <s v="C1181"/>
    <s v="Vikram"/>
    <x v="6"/>
    <x v="2"/>
    <x v="2"/>
    <x v="2"/>
    <x v="6"/>
    <x v="6"/>
    <x v="2"/>
    <n v="499"/>
    <m/>
    <x v="2"/>
    <s v="Cancelled"/>
  </r>
  <r>
    <n v="10318"/>
    <x v="46"/>
    <s v="C1197"/>
    <s v="Amit"/>
    <x v="5"/>
    <x v="5"/>
    <x v="5"/>
    <x v="2"/>
    <x v="6"/>
    <x v="6"/>
    <x v="3"/>
    <n v="1299"/>
    <s v="Net Banking"/>
    <x v="0"/>
    <s v="Shipped"/>
  </r>
  <r>
    <n v="10319"/>
    <x v="61"/>
    <s v="C1057"/>
    <s v="Priya"/>
    <x v="5"/>
    <x v="5"/>
    <x v="5"/>
    <x v="2"/>
    <x v="7"/>
    <x v="7"/>
    <x v="1"/>
    <n v="1299"/>
    <s v="Card"/>
    <x v="3"/>
    <s v="Cancelled"/>
  </r>
  <r>
    <n v="10320"/>
    <x v="64"/>
    <s v="C1025"/>
    <s v="Anjali"/>
    <x v="5"/>
    <x v="5"/>
    <x v="5"/>
    <x v="1"/>
    <x v="2"/>
    <x v="2"/>
    <x v="1"/>
    <n v="1299"/>
    <m/>
    <x v="2"/>
    <s v="Shipped"/>
  </r>
  <r>
    <n v="10321"/>
    <x v="67"/>
    <s v="C1187"/>
    <s v="Vikram"/>
    <x v="4"/>
    <x v="1"/>
    <x v="1"/>
    <x v="0"/>
    <x v="0"/>
    <x v="0"/>
    <x v="7"/>
    <n v="799"/>
    <s v="Net Banking"/>
    <x v="0"/>
    <s v="Cancelled"/>
  </r>
  <r>
    <n v="10322"/>
    <x v="19"/>
    <s v="C1140"/>
    <s v="Karan"/>
    <x v="2"/>
    <x v="2"/>
    <x v="2"/>
    <x v="1"/>
    <x v="2"/>
    <x v="2"/>
    <x v="0"/>
    <n v="499"/>
    <s v="Cash on Delivery"/>
    <x v="1"/>
    <s v="Returned"/>
  </r>
  <r>
    <n v="10323"/>
    <x v="0"/>
    <s v="C1012"/>
    <s v="Rahul"/>
    <x v="6"/>
    <x v="2"/>
    <x v="2"/>
    <x v="1"/>
    <x v="5"/>
    <x v="5"/>
    <x v="2"/>
    <n v="799"/>
    <m/>
    <x v="2"/>
    <s v="Delivered"/>
  </r>
  <r>
    <n v="10324"/>
    <x v="65"/>
    <s v="C1034"/>
    <s v="Anjali"/>
    <x v="2"/>
    <x v="4"/>
    <x v="4"/>
    <x v="0"/>
    <x v="4"/>
    <x v="4"/>
    <x v="4"/>
    <n v="799"/>
    <s v="Card"/>
    <x v="3"/>
    <s v="Returned"/>
  </r>
  <r>
    <n v="10325"/>
    <x v="133"/>
    <s v="C1083"/>
    <s v="Anjali"/>
    <x v="1"/>
    <x v="1"/>
    <x v="1"/>
    <x v="1"/>
    <x v="2"/>
    <x v="2"/>
    <x v="1"/>
    <n v="299"/>
    <s v="Card"/>
    <x v="3"/>
    <s v="Cancelled"/>
  </r>
  <r>
    <n v="10326"/>
    <x v="8"/>
    <s v="C1085"/>
    <s v="Priya"/>
    <x v="1"/>
    <x v="1"/>
    <x v="1"/>
    <x v="1"/>
    <x v="2"/>
    <x v="2"/>
    <x v="2"/>
    <n v="1999"/>
    <m/>
    <x v="2"/>
    <s v="Shipped"/>
  </r>
  <r>
    <n v="10327"/>
    <x v="168"/>
    <s v="C1180"/>
    <s v="Karan"/>
    <x v="3"/>
    <x v="2"/>
    <x v="2"/>
    <x v="1"/>
    <x v="1"/>
    <x v="1"/>
    <x v="0"/>
    <n v="1299"/>
    <m/>
    <x v="2"/>
    <s v="Returned"/>
  </r>
  <r>
    <n v="10328"/>
    <x v="18"/>
    <s v="C1129"/>
    <s v="Neha"/>
    <x v="7"/>
    <x v="2"/>
    <x v="2"/>
    <x v="0"/>
    <x v="0"/>
    <x v="0"/>
    <x v="1"/>
    <n v="1999"/>
    <m/>
    <x v="2"/>
    <s v="Shipped"/>
  </r>
  <r>
    <n v="10329"/>
    <x v="142"/>
    <s v="C1044"/>
    <s v="Rahul"/>
    <x v="3"/>
    <x v="4"/>
    <x v="4"/>
    <x v="0"/>
    <x v="4"/>
    <x v="4"/>
    <x v="2"/>
    <n v="499"/>
    <s v="Cash on Delivery"/>
    <x v="1"/>
    <s v="Delivered"/>
  </r>
  <r>
    <n v="10330"/>
    <x v="67"/>
    <s v="C1162"/>
    <s v="Vikram"/>
    <x v="4"/>
    <x v="1"/>
    <x v="1"/>
    <x v="1"/>
    <x v="1"/>
    <x v="1"/>
    <x v="1"/>
    <n v="299"/>
    <s v="Net Banking"/>
    <x v="0"/>
    <s v="Delivered"/>
  </r>
  <r>
    <n v="10331"/>
    <x v="169"/>
    <s v="C1085"/>
    <s v="Sneha"/>
    <x v="6"/>
    <x v="2"/>
    <x v="2"/>
    <x v="2"/>
    <x v="7"/>
    <x v="7"/>
    <x v="2"/>
    <n v="299"/>
    <m/>
    <x v="2"/>
    <s v="Shipped"/>
  </r>
  <r>
    <n v="10332"/>
    <x v="80"/>
    <s v="C1181"/>
    <s v="Vikram"/>
    <x v="6"/>
    <x v="4"/>
    <x v="4"/>
    <x v="3"/>
    <x v="5"/>
    <x v="5"/>
    <x v="4"/>
    <n v="499"/>
    <s v="Cash on Delivery"/>
    <x v="1"/>
    <s v="Shipped"/>
  </r>
  <r>
    <n v="10333"/>
    <x v="71"/>
    <s v="C1186"/>
    <s v="Priya"/>
    <x v="0"/>
    <x v="0"/>
    <x v="0"/>
    <x v="0"/>
    <x v="4"/>
    <x v="4"/>
    <x v="1"/>
    <n v="499"/>
    <s v="Net Banking"/>
    <x v="0"/>
    <s v="Delivered"/>
  </r>
  <r>
    <n v="10334"/>
    <x v="93"/>
    <s v="C1182"/>
    <s v="Priya"/>
    <x v="0"/>
    <x v="0"/>
    <x v="0"/>
    <x v="1"/>
    <x v="2"/>
    <x v="2"/>
    <x v="0"/>
    <n v="799"/>
    <m/>
    <x v="2"/>
    <s v="Delivered"/>
  </r>
  <r>
    <n v="10335"/>
    <x v="98"/>
    <s v="C1149"/>
    <s v="Amit"/>
    <x v="7"/>
    <x v="2"/>
    <x v="2"/>
    <x v="2"/>
    <x v="6"/>
    <x v="6"/>
    <x v="1"/>
    <n v="1299"/>
    <s v="Cash on Delivery"/>
    <x v="1"/>
    <s v="Returned"/>
  </r>
  <r>
    <n v="10336"/>
    <x v="149"/>
    <s v="C1122"/>
    <s v="Anjali"/>
    <x v="0"/>
    <x v="0"/>
    <x v="0"/>
    <x v="0"/>
    <x v="4"/>
    <x v="4"/>
    <x v="1"/>
    <n v="799"/>
    <m/>
    <x v="2"/>
    <s v="Delivered"/>
  </r>
  <r>
    <n v="10337"/>
    <x v="33"/>
    <s v="C1006"/>
    <s v="Priya"/>
    <x v="1"/>
    <x v="1"/>
    <x v="1"/>
    <x v="2"/>
    <x v="3"/>
    <x v="3"/>
    <x v="3"/>
    <n v="999999"/>
    <m/>
    <x v="2"/>
    <s v="Returned"/>
  </r>
  <r>
    <n v="10338"/>
    <x v="82"/>
    <s v="C1157"/>
    <s v="Amit"/>
    <x v="2"/>
    <x v="2"/>
    <x v="2"/>
    <x v="3"/>
    <x v="5"/>
    <x v="5"/>
    <x v="2"/>
    <n v="499"/>
    <s v="Card"/>
    <x v="3"/>
    <s v="Returned"/>
  </r>
  <r>
    <n v="10339"/>
    <x v="170"/>
    <s v="C1170"/>
    <s v="Amit"/>
    <x v="1"/>
    <x v="1"/>
    <x v="1"/>
    <x v="0"/>
    <x v="0"/>
    <x v="0"/>
    <x v="0"/>
    <n v="1299"/>
    <m/>
    <x v="2"/>
    <s v="Delivered"/>
  </r>
  <r>
    <n v="10340"/>
    <x v="3"/>
    <s v="C1104"/>
    <s v="Rahul"/>
    <x v="0"/>
    <x v="0"/>
    <x v="0"/>
    <x v="1"/>
    <x v="1"/>
    <x v="1"/>
    <x v="1"/>
    <n v="1999"/>
    <m/>
    <x v="2"/>
    <s v="Shipped"/>
  </r>
  <r>
    <n v="10341"/>
    <x v="25"/>
    <s v="C1065"/>
    <s v="Rahul"/>
    <x v="2"/>
    <x v="2"/>
    <x v="2"/>
    <x v="1"/>
    <x v="2"/>
    <x v="2"/>
    <x v="4"/>
    <n v="1299"/>
    <s v="Card"/>
    <x v="3"/>
    <s v="Returned"/>
  </r>
  <r>
    <n v="10342"/>
    <x v="171"/>
    <s v="C1065"/>
    <s v="Rahul"/>
    <x v="0"/>
    <x v="0"/>
    <x v="0"/>
    <x v="1"/>
    <x v="1"/>
    <x v="1"/>
    <x v="1"/>
    <n v="499"/>
    <m/>
    <x v="2"/>
    <s v="Returned"/>
  </r>
  <r>
    <n v="10343"/>
    <x v="102"/>
    <s v="C1185"/>
    <s v="Vikram"/>
    <x v="0"/>
    <x v="0"/>
    <x v="0"/>
    <x v="1"/>
    <x v="1"/>
    <x v="1"/>
    <x v="4"/>
    <n v="1999"/>
    <m/>
    <x v="2"/>
    <s v="Returned"/>
  </r>
  <r>
    <n v="10344"/>
    <x v="146"/>
    <s v="C1142"/>
    <s v="Karan"/>
    <x v="0"/>
    <x v="0"/>
    <x v="0"/>
    <x v="1"/>
    <x v="2"/>
    <x v="2"/>
    <x v="4"/>
    <n v="299"/>
    <s v="Cash on Delivery"/>
    <x v="1"/>
    <s v="Delivered"/>
  </r>
  <r>
    <n v="10345"/>
    <x v="7"/>
    <s v="C1033"/>
    <s v="Amit"/>
    <x v="1"/>
    <x v="1"/>
    <x v="1"/>
    <x v="1"/>
    <x v="1"/>
    <x v="1"/>
    <x v="4"/>
    <n v="799"/>
    <m/>
    <x v="2"/>
    <s v="Delivered"/>
  </r>
  <r>
    <n v="10346"/>
    <x v="100"/>
    <s v="C1145"/>
    <s v="Vikram"/>
    <x v="6"/>
    <x v="2"/>
    <x v="2"/>
    <x v="2"/>
    <x v="6"/>
    <x v="6"/>
    <x v="6"/>
    <n v="799"/>
    <m/>
    <x v="2"/>
    <s v="Delivered"/>
  </r>
  <r>
    <n v="10347"/>
    <x v="97"/>
    <s v="C1187"/>
    <s v="Sneha"/>
    <x v="4"/>
    <x v="1"/>
    <x v="1"/>
    <x v="0"/>
    <x v="0"/>
    <x v="0"/>
    <x v="3"/>
    <n v="499"/>
    <m/>
    <x v="2"/>
    <s v="Delivered"/>
  </r>
  <r>
    <n v="10348"/>
    <x v="30"/>
    <s v="C1078"/>
    <s v="Rahul"/>
    <x v="2"/>
    <x v="4"/>
    <x v="4"/>
    <x v="0"/>
    <x v="0"/>
    <x v="0"/>
    <x v="0"/>
    <n v="1299"/>
    <s v="Card"/>
    <x v="3"/>
    <s v="Cancelled"/>
  </r>
  <r>
    <n v="10349"/>
    <x v="140"/>
    <s v="C1165"/>
    <s v="Vikram"/>
    <x v="1"/>
    <x v="1"/>
    <x v="1"/>
    <x v="2"/>
    <x v="7"/>
    <x v="7"/>
    <x v="2"/>
    <n v="499"/>
    <s v="Cash on Delivery"/>
    <x v="1"/>
    <s v="Cancelled"/>
  </r>
  <r>
    <n v="10350"/>
    <x v="83"/>
    <s v="C1186"/>
    <s v="Neha"/>
    <x v="3"/>
    <x v="2"/>
    <x v="2"/>
    <x v="2"/>
    <x v="6"/>
    <x v="6"/>
    <x v="3"/>
    <n v="1299"/>
    <s v="Net Banking"/>
    <x v="0"/>
    <s v="Cancelled"/>
  </r>
  <r>
    <n v="10351"/>
    <x v="109"/>
    <s v="C1008"/>
    <s v="Rahul"/>
    <x v="4"/>
    <x v="1"/>
    <x v="1"/>
    <x v="2"/>
    <x v="6"/>
    <x v="6"/>
    <x v="3"/>
    <n v="1299"/>
    <s v="Card"/>
    <x v="3"/>
    <s v="Cancelled"/>
  </r>
  <r>
    <n v="10352"/>
    <x v="81"/>
    <s v="C1108"/>
    <s v="Amit"/>
    <x v="5"/>
    <x v="5"/>
    <x v="5"/>
    <x v="2"/>
    <x v="7"/>
    <x v="7"/>
    <x v="2"/>
    <n v="1999"/>
    <s v="Cash on Delivery"/>
    <x v="1"/>
    <s v="Shipped"/>
  </r>
  <r>
    <n v="10353"/>
    <x v="5"/>
    <s v="C1013"/>
    <s v="Sneha"/>
    <x v="5"/>
    <x v="5"/>
    <x v="5"/>
    <x v="1"/>
    <x v="2"/>
    <x v="2"/>
    <x v="3"/>
    <n v="799"/>
    <s v="Cash on Delivery"/>
    <x v="1"/>
    <s v="Delivered"/>
  </r>
  <r>
    <n v="10354"/>
    <x v="40"/>
    <s v="C1145"/>
    <s v="Karan"/>
    <x v="0"/>
    <x v="0"/>
    <x v="0"/>
    <x v="1"/>
    <x v="2"/>
    <x v="2"/>
    <x v="1"/>
    <n v="299"/>
    <m/>
    <x v="2"/>
    <s v="Cancelled"/>
  </r>
  <r>
    <n v="10355"/>
    <x v="1"/>
    <s v="C1005"/>
    <s v="Vikram"/>
    <x v="5"/>
    <x v="5"/>
    <x v="5"/>
    <x v="1"/>
    <x v="2"/>
    <x v="2"/>
    <x v="1"/>
    <n v="1299"/>
    <m/>
    <x v="2"/>
    <s v="Shipped"/>
  </r>
  <r>
    <n v="10356"/>
    <x v="92"/>
    <s v="C1116"/>
    <s v="Rahul"/>
    <x v="0"/>
    <x v="3"/>
    <x v="3"/>
    <x v="1"/>
    <x v="1"/>
    <x v="1"/>
    <x v="2"/>
    <n v="799"/>
    <s v="Net Banking"/>
    <x v="0"/>
    <s v="Cancelled"/>
  </r>
  <r>
    <n v="10357"/>
    <x v="140"/>
    <s v="C1071"/>
    <s v="Amit"/>
    <x v="6"/>
    <x v="2"/>
    <x v="2"/>
    <x v="1"/>
    <x v="2"/>
    <x v="2"/>
    <x v="3"/>
    <n v="799"/>
    <s v="Net Banking"/>
    <x v="0"/>
    <s v="Shipped"/>
  </r>
  <r>
    <n v="10358"/>
    <x v="172"/>
    <s v="C1190"/>
    <s v="Neha"/>
    <x v="0"/>
    <x v="0"/>
    <x v="0"/>
    <x v="0"/>
    <x v="4"/>
    <x v="4"/>
    <x v="2"/>
    <n v="1299"/>
    <s v="Card"/>
    <x v="3"/>
    <s v="Cancelled"/>
  </r>
  <r>
    <n v="10359"/>
    <x v="84"/>
    <s v="C1049"/>
    <s v="Karan"/>
    <x v="4"/>
    <x v="1"/>
    <x v="1"/>
    <x v="1"/>
    <x v="2"/>
    <x v="2"/>
    <x v="3"/>
    <n v="1999"/>
    <m/>
    <x v="2"/>
    <s v="Cancelled"/>
  </r>
  <r>
    <n v="10360"/>
    <x v="34"/>
    <s v="C1154"/>
    <s v="Neha"/>
    <x v="2"/>
    <x v="2"/>
    <x v="2"/>
    <x v="0"/>
    <x v="4"/>
    <x v="4"/>
    <x v="3"/>
    <n v="1999"/>
    <m/>
    <x v="2"/>
    <s v="Delivered"/>
  </r>
  <r>
    <n v="10361"/>
    <x v="52"/>
    <s v="C1026"/>
    <s v="Anjali"/>
    <x v="3"/>
    <x v="2"/>
    <x v="2"/>
    <x v="1"/>
    <x v="1"/>
    <x v="1"/>
    <x v="1"/>
    <n v="1299"/>
    <s v="Net Banking"/>
    <x v="0"/>
    <s v="Cancelled"/>
  </r>
  <r>
    <n v="10362"/>
    <x v="4"/>
    <s v="C1187"/>
    <s v="Vikram"/>
    <x v="7"/>
    <x v="4"/>
    <x v="4"/>
    <x v="0"/>
    <x v="0"/>
    <x v="0"/>
    <x v="3"/>
    <n v="499"/>
    <s v="Net Banking"/>
    <x v="0"/>
    <s v="Shipped"/>
  </r>
  <r>
    <n v="10363"/>
    <x v="173"/>
    <s v="C1015"/>
    <s v="Karan"/>
    <x v="2"/>
    <x v="2"/>
    <x v="2"/>
    <x v="0"/>
    <x v="0"/>
    <x v="0"/>
    <x v="1"/>
    <n v="1999"/>
    <s v="Card"/>
    <x v="3"/>
    <s v="Cancelled"/>
  </r>
  <r>
    <n v="10364"/>
    <x v="59"/>
    <s v="C1002"/>
    <s v="Sneha"/>
    <x v="4"/>
    <x v="1"/>
    <x v="1"/>
    <x v="1"/>
    <x v="2"/>
    <x v="2"/>
    <x v="0"/>
    <n v="799"/>
    <s v="Card"/>
    <x v="3"/>
    <s v="Delivered"/>
  </r>
  <r>
    <n v="10365"/>
    <x v="81"/>
    <s v="C1185"/>
    <s v="Rahul"/>
    <x v="1"/>
    <x v="1"/>
    <x v="1"/>
    <x v="0"/>
    <x v="0"/>
    <x v="0"/>
    <x v="0"/>
    <n v="1299"/>
    <s v="Net Banking"/>
    <x v="0"/>
    <s v="Returned"/>
  </r>
  <r>
    <n v="10366"/>
    <x v="173"/>
    <s v="C1039"/>
    <s v="Rahul"/>
    <x v="4"/>
    <x v="1"/>
    <x v="1"/>
    <x v="1"/>
    <x v="2"/>
    <x v="2"/>
    <x v="2"/>
    <n v="299"/>
    <s v="Card"/>
    <x v="3"/>
    <s v="Shipped"/>
  </r>
  <r>
    <n v="10367"/>
    <x v="109"/>
    <s v="C1168"/>
    <s v="Rahul"/>
    <x v="1"/>
    <x v="1"/>
    <x v="1"/>
    <x v="2"/>
    <x v="6"/>
    <x v="6"/>
    <x v="1"/>
    <n v="1299"/>
    <m/>
    <x v="2"/>
    <s v="Shipped"/>
  </r>
  <r>
    <n v="10368"/>
    <x v="155"/>
    <s v="C1006"/>
    <s v="Vikram"/>
    <x v="1"/>
    <x v="1"/>
    <x v="1"/>
    <x v="1"/>
    <x v="2"/>
    <x v="2"/>
    <x v="0"/>
    <n v="799"/>
    <s v="Cash on Delivery"/>
    <x v="1"/>
    <s v="Returned"/>
  </r>
  <r>
    <n v="10369"/>
    <x v="97"/>
    <s v="C1055"/>
    <s v="Rahul"/>
    <x v="1"/>
    <x v="1"/>
    <x v="1"/>
    <x v="0"/>
    <x v="4"/>
    <x v="4"/>
    <x v="2"/>
    <n v="1299"/>
    <m/>
    <x v="2"/>
    <s v="Shipped"/>
  </r>
  <r>
    <n v="10370"/>
    <x v="133"/>
    <s v="C1025"/>
    <s v="Vikram"/>
    <x v="1"/>
    <x v="1"/>
    <x v="1"/>
    <x v="2"/>
    <x v="5"/>
    <x v="5"/>
    <x v="3"/>
    <n v="499"/>
    <m/>
    <x v="2"/>
    <s v="Cancelled"/>
  </r>
  <r>
    <n v="10371"/>
    <x v="154"/>
    <s v="C1024"/>
    <s v="Neha"/>
    <x v="6"/>
    <x v="3"/>
    <x v="3"/>
    <x v="0"/>
    <x v="0"/>
    <x v="0"/>
    <x v="3"/>
    <n v="299"/>
    <m/>
    <x v="2"/>
    <s v="Delivered"/>
  </r>
  <r>
    <n v="10372"/>
    <x v="56"/>
    <s v="C1143"/>
    <s v="Neha"/>
    <x v="2"/>
    <x v="2"/>
    <x v="2"/>
    <x v="2"/>
    <x v="6"/>
    <x v="6"/>
    <x v="4"/>
    <n v="499"/>
    <s v="Net Banking"/>
    <x v="0"/>
    <s v="Shipped"/>
  </r>
  <r>
    <n v="10373"/>
    <x v="104"/>
    <s v="C1119"/>
    <s v="Rahul"/>
    <x v="0"/>
    <x v="0"/>
    <x v="0"/>
    <x v="1"/>
    <x v="2"/>
    <x v="2"/>
    <x v="0"/>
    <n v="499"/>
    <m/>
    <x v="2"/>
    <s v="Shipped"/>
  </r>
  <r>
    <n v="10374"/>
    <x v="102"/>
    <s v="C1130"/>
    <s v="Karan"/>
    <x v="4"/>
    <x v="1"/>
    <x v="1"/>
    <x v="0"/>
    <x v="0"/>
    <x v="0"/>
    <x v="2"/>
    <n v="1299"/>
    <s v="Card"/>
    <x v="3"/>
    <s v="Returned"/>
  </r>
  <r>
    <n v="10375"/>
    <x v="174"/>
    <s v="C1021"/>
    <s v="Priya"/>
    <x v="5"/>
    <x v="5"/>
    <x v="5"/>
    <x v="2"/>
    <x v="3"/>
    <x v="3"/>
    <x v="4"/>
    <n v="299"/>
    <m/>
    <x v="2"/>
    <s v="Delivered"/>
  </r>
  <r>
    <n v="10376"/>
    <x v="175"/>
    <s v="C1099"/>
    <s v="Priya"/>
    <x v="2"/>
    <x v="2"/>
    <x v="2"/>
    <x v="2"/>
    <x v="3"/>
    <x v="3"/>
    <x v="4"/>
    <n v="299"/>
    <s v="Card"/>
    <x v="3"/>
    <s v="Returned"/>
  </r>
  <r>
    <n v="10377"/>
    <x v="176"/>
    <s v="C1009"/>
    <s v="Priya"/>
    <x v="3"/>
    <x v="2"/>
    <x v="2"/>
    <x v="3"/>
    <x v="6"/>
    <x v="6"/>
    <x v="1"/>
    <n v="299"/>
    <s v="Net Banking"/>
    <x v="0"/>
    <s v="Returned"/>
  </r>
  <r>
    <n v="10378"/>
    <x v="177"/>
    <s v="C1159"/>
    <s v="Karan"/>
    <x v="3"/>
    <x v="2"/>
    <x v="2"/>
    <x v="0"/>
    <x v="0"/>
    <x v="0"/>
    <x v="0"/>
    <n v="499"/>
    <s v="Net Banking"/>
    <x v="0"/>
    <s v="Shipped"/>
  </r>
  <r>
    <n v="10379"/>
    <x v="178"/>
    <s v="C1184"/>
    <s v="Priya"/>
    <x v="2"/>
    <x v="2"/>
    <x v="2"/>
    <x v="3"/>
    <x v="7"/>
    <x v="7"/>
    <x v="3"/>
    <n v="1999"/>
    <s v="Card"/>
    <x v="3"/>
    <s v="Delivered"/>
  </r>
  <r>
    <n v="10380"/>
    <x v="72"/>
    <s v="C1152"/>
    <s v="Anjali"/>
    <x v="0"/>
    <x v="0"/>
    <x v="0"/>
    <x v="0"/>
    <x v="4"/>
    <x v="4"/>
    <x v="3"/>
    <n v="299"/>
    <m/>
    <x v="2"/>
    <s v="Delivered"/>
  </r>
  <r>
    <n v="10381"/>
    <x v="31"/>
    <s v="C1145"/>
    <s v="Priya"/>
    <x v="6"/>
    <x v="4"/>
    <x v="4"/>
    <x v="1"/>
    <x v="1"/>
    <x v="1"/>
    <x v="1"/>
    <n v="1299"/>
    <s v="Card"/>
    <x v="3"/>
    <s v="Shipped"/>
  </r>
  <r>
    <n v="10382"/>
    <x v="16"/>
    <s v="C1134"/>
    <s v="Vikram"/>
    <x v="0"/>
    <x v="0"/>
    <x v="0"/>
    <x v="0"/>
    <x v="4"/>
    <x v="4"/>
    <x v="0"/>
    <n v="499"/>
    <s v="Cash on Delivery"/>
    <x v="1"/>
    <s v="Returned"/>
  </r>
  <r>
    <n v="10383"/>
    <x v="143"/>
    <s v="C1065"/>
    <s v="Priya"/>
    <x v="0"/>
    <x v="0"/>
    <x v="0"/>
    <x v="1"/>
    <x v="1"/>
    <x v="1"/>
    <x v="3"/>
    <n v="799"/>
    <s v="Card"/>
    <x v="3"/>
    <s v="Shipped"/>
  </r>
  <r>
    <n v="10384"/>
    <x v="28"/>
    <s v="C1036"/>
    <s v="Sneha"/>
    <x v="2"/>
    <x v="2"/>
    <x v="2"/>
    <x v="0"/>
    <x v="4"/>
    <x v="4"/>
    <x v="2"/>
    <n v="299"/>
    <m/>
    <x v="2"/>
    <s v="Delivered"/>
  </r>
  <r>
    <n v="10385"/>
    <x v="18"/>
    <s v="C1064"/>
    <s v="Amit"/>
    <x v="7"/>
    <x v="2"/>
    <x v="2"/>
    <x v="1"/>
    <x v="2"/>
    <x v="2"/>
    <x v="0"/>
    <n v="1299"/>
    <m/>
    <x v="2"/>
    <s v="Cancelled"/>
  </r>
  <r>
    <n v="10386"/>
    <x v="118"/>
    <s v="C1065"/>
    <s v="Rahul"/>
    <x v="3"/>
    <x v="2"/>
    <x v="2"/>
    <x v="2"/>
    <x v="6"/>
    <x v="6"/>
    <x v="1"/>
    <n v="799"/>
    <s v="Card"/>
    <x v="3"/>
    <s v="Returned"/>
  </r>
  <r>
    <n v="10387"/>
    <x v="3"/>
    <s v="C1189"/>
    <s v="Anjali"/>
    <x v="6"/>
    <x v="2"/>
    <x v="2"/>
    <x v="0"/>
    <x v="4"/>
    <x v="4"/>
    <x v="4"/>
    <n v="799"/>
    <m/>
    <x v="2"/>
    <s v="Returned"/>
  </r>
  <r>
    <n v="10388"/>
    <x v="72"/>
    <s v="C1001"/>
    <s v="Neha"/>
    <x v="5"/>
    <x v="5"/>
    <x v="5"/>
    <x v="2"/>
    <x v="7"/>
    <x v="7"/>
    <x v="1"/>
    <n v="499"/>
    <s v="Card"/>
    <x v="3"/>
    <s v="Shipped"/>
  </r>
  <r>
    <n v="10389"/>
    <x v="95"/>
    <s v="C1094"/>
    <s v="Karan"/>
    <x v="5"/>
    <x v="5"/>
    <x v="5"/>
    <x v="1"/>
    <x v="1"/>
    <x v="1"/>
    <x v="0"/>
    <n v="1299"/>
    <m/>
    <x v="2"/>
    <s v="Shipped"/>
  </r>
  <r>
    <n v="10390"/>
    <x v="96"/>
    <s v="C1050"/>
    <s v="Neha"/>
    <x v="2"/>
    <x v="4"/>
    <x v="4"/>
    <x v="2"/>
    <x v="6"/>
    <x v="6"/>
    <x v="4"/>
    <n v="799"/>
    <m/>
    <x v="2"/>
    <s v="Returned"/>
  </r>
  <r>
    <n v="10391"/>
    <x v="0"/>
    <s v="C1113"/>
    <s v="Karan"/>
    <x v="6"/>
    <x v="2"/>
    <x v="2"/>
    <x v="1"/>
    <x v="1"/>
    <x v="1"/>
    <x v="4"/>
    <n v="1999"/>
    <m/>
    <x v="2"/>
    <s v="Cancelled"/>
  </r>
  <r>
    <n v="10392"/>
    <x v="116"/>
    <s v="C1195"/>
    <s v="Priya"/>
    <x v="1"/>
    <x v="1"/>
    <x v="1"/>
    <x v="3"/>
    <x v="7"/>
    <x v="7"/>
    <x v="4"/>
    <n v="299"/>
    <m/>
    <x v="2"/>
    <s v="Returned"/>
  </r>
  <r>
    <n v="10393"/>
    <x v="140"/>
    <s v="C1178"/>
    <s v="Priya"/>
    <x v="0"/>
    <x v="0"/>
    <x v="0"/>
    <x v="0"/>
    <x v="4"/>
    <x v="4"/>
    <x v="4"/>
    <n v="499"/>
    <s v="Net Banking"/>
    <x v="0"/>
    <s v="Shipped"/>
  </r>
  <r>
    <n v="10394"/>
    <x v="121"/>
    <s v="C1138"/>
    <s v="Amit"/>
    <x v="0"/>
    <x v="0"/>
    <x v="0"/>
    <x v="1"/>
    <x v="1"/>
    <x v="1"/>
    <x v="3"/>
    <n v="1299"/>
    <s v="Cash on Delivery"/>
    <x v="1"/>
    <s v="Delivered"/>
  </r>
  <r>
    <n v="10395"/>
    <x v="134"/>
    <s v="C1019"/>
    <s v="Sneha"/>
    <x v="1"/>
    <x v="1"/>
    <x v="1"/>
    <x v="0"/>
    <x v="4"/>
    <x v="4"/>
    <x v="3"/>
    <n v="499"/>
    <m/>
    <x v="2"/>
    <s v="Returned"/>
  </r>
  <r>
    <n v="10396"/>
    <x v="179"/>
    <s v="C1055"/>
    <s v="Rahul"/>
    <x v="7"/>
    <x v="4"/>
    <x v="4"/>
    <x v="0"/>
    <x v="4"/>
    <x v="4"/>
    <x v="0"/>
    <n v="1999"/>
    <m/>
    <x v="2"/>
    <s v="Shipped"/>
  </r>
  <r>
    <n v="10397"/>
    <x v="168"/>
    <s v="C1057"/>
    <s v="Vikram"/>
    <x v="3"/>
    <x v="2"/>
    <x v="2"/>
    <x v="2"/>
    <x v="6"/>
    <x v="6"/>
    <x v="1"/>
    <n v="799"/>
    <m/>
    <x v="2"/>
    <s v="Returned"/>
  </r>
  <r>
    <n v="10398"/>
    <x v="139"/>
    <s v="C1177"/>
    <s v="Karan"/>
    <x v="4"/>
    <x v="1"/>
    <x v="1"/>
    <x v="1"/>
    <x v="2"/>
    <x v="2"/>
    <x v="7"/>
    <n v="299"/>
    <m/>
    <x v="2"/>
    <s v="Cancelled"/>
  </r>
  <r>
    <n v="10399"/>
    <x v="28"/>
    <s v="C1061"/>
    <s v="Karan"/>
    <x v="5"/>
    <x v="5"/>
    <x v="5"/>
    <x v="2"/>
    <x v="7"/>
    <x v="7"/>
    <x v="2"/>
    <n v="499"/>
    <m/>
    <x v="2"/>
    <s v="Delivered"/>
  </r>
  <r>
    <n v="10400"/>
    <x v="180"/>
    <s v="C1190"/>
    <s v="Karan"/>
    <x v="5"/>
    <x v="5"/>
    <x v="5"/>
    <x v="0"/>
    <x v="0"/>
    <x v="0"/>
    <x v="0"/>
    <n v="299"/>
    <m/>
    <x v="2"/>
    <s v="Delivered"/>
  </r>
  <r>
    <n v="10401"/>
    <x v="62"/>
    <s v="C1124"/>
    <s v="Amit"/>
    <x v="2"/>
    <x v="4"/>
    <x v="4"/>
    <x v="0"/>
    <x v="0"/>
    <x v="0"/>
    <x v="0"/>
    <n v="1299"/>
    <s v="Cash on Delivery"/>
    <x v="1"/>
    <s v="Shipped"/>
  </r>
  <r>
    <n v="10402"/>
    <x v="112"/>
    <s v="C1079"/>
    <s v="Rahul"/>
    <x v="0"/>
    <x v="0"/>
    <x v="0"/>
    <x v="3"/>
    <x v="6"/>
    <x v="6"/>
    <x v="3"/>
    <n v="1999"/>
    <m/>
    <x v="2"/>
    <s v="Delivered"/>
  </r>
  <r>
    <n v="10403"/>
    <x v="169"/>
    <s v="C1196"/>
    <s v="Neha"/>
    <x v="4"/>
    <x v="1"/>
    <x v="1"/>
    <x v="0"/>
    <x v="4"/>
    <x v="4"/>
    <x v="4"/>
    <n v="799"/>
    <s v="Card"/>
    <x v="3"/>
    <s v="Delivered"/>
  </r>
  <r>
    <n v="10404"/>
    <x v="155"/>
    <s v="C1168"/>
    <s v="Vikram"/>
    <x v="2"/>
    <x v="2"/>
    <x v="2"/>
    <x v="0"/>
    <x v="0"/>
    <x v="0"/>
    <x v="4"/>
    <n v="299"/>
    <m/>
    <x v="2"/>
    <s v="Delivered"/>
  </r>
  <r>
    <n v="10405"/>
    <x v="158"/>
    <s v="C1094"/>
    <s v="Priya"/>
    <x v="2"/>
    <x v="2"/>
    <x v="2"/>
    <x v="3"/>
    <x v="7"/>
    <x v="7"/>
    <x v="3"/>
    <n v="799"/>
    <m/>
    <x v="2"/>
    <s v="Cancelled"/>
  </r>
  <r>
    <n v="10406"/>
    <x v="168"/>
    <s v="C1103"/>
    <s v="Amit"/>
    <x v="3"/>
    <x v="2"/>
    <x v="2"/>
    <x v="0"/>
    <x v="4"/>
    <x v="4"/>
    <x v="3"/>
    <n v="799"/>
    <s v="Card"/>
    <x v="3"/>
    <s v="Shipped"/>
  </r>
  <r>
    <n v="10407"/>
    <x v="114"/>
    <s v="C1192"/>
    <s v="Anjali"/>
    <x v="3"/>
    <x v="2"/>
    <x v="2"/>
    <x v="2"/>
    <x v="6"/>
    <x v="6"/>
    <x v="3"/>
    <n v="799"/>
    <m/>
    <x v="2"/>
    <s v="Delivered"/>
  </r>
  <r>
    <n v="10408"/>
    <x v="87"/>
    <s v="C1125"/>
    <s v="Sneha"/>
    <x v="5"/>
    <x v="5"/>
    <x v="5"/>
    <x v="2"/>
    <x v="6"/>
    <x v="6"/>
    <x v="4"/>
    <n v="299"/>
    <s v="Card"/>
    <x v="3"/>
    <s v="Cancelled"/>
  </r>
  <r>
    <n v="10409"/>
    <x v="154"/>
    <s v="C1053"/>
    <s v="Sneha"/>
    <x v="5"/>
    <x v="5"/>
    <x v="5"/>
    <x v="2"/>
    <x v="3"/>
    <x v="3"/>
    <x v="4"/>
    <n v="499"/>
    <m/>
    <x v="2"/>
    <s v="Shipped"/>
  </r>
  <r>
    <n v="10410"/>
    <x v="47"/>
    <s v="C1087"/>
    <s v="Neha"/>
    <x v="2"/>
    <x v="2"/>
    <x v="2"/>
    <x v="2"/>
    <x v="5"/>
    <x v="5"/>
    <x v="1"/>
    <n v="299"/>
    <m/>
    <x v="2"/>
    <s v="Returned"/>
  </r>
  <r>
    <n v="10411"/>
    <x v="69"/>
    <s v="C1138"/>
    <s v="Neha"/>
    <x v="5"/>
    <x v="5"/>
    <x v="5"/>
    <x v="1"/>
    <x v="2"/>
    <x v="2"/>
    <x v="2"/>
    <n v="1299"/>
    <s v="Net Banking"/>
    <x v="0"/>
    <s v="Cancelled"/>
  </r>
  <r>
    <n v="10412"/>
    <x v="15"/>
    <s v="C1036"/>
    <s v="Rahul"/>
    <x v="0"/>
    <x v="0"/>
    <x v="0"/>
    <x v="3"/>
    <x v="3"/>
    <x v="3"/>
    <x v="4"/>
    <n v="799"/>
    <m/>
    <x v="2"/>
    <s v="Returned"/>
  </r>
  <r>
    <n v="10413"/>
    <x v="98"/>
    <s v="C1178"/>
    <s v="Karan"/>
    <x v="6"/>
    <x v="2"/>
    <x v="2"/>
    <x v="1"/>
    <x v="5"/>
    <x v="5"/>
    <x v="4"/>
    <n v="799"/>
    <m/>
    <x v="2"/>
    <s v="Shipped"/>
  </r>
  <r>
    <n v="10414"/>
    <x v="135"/>
    <s v="C1150"/>
    <s v="Sneha"/>
    <x v="2"/>
    <x v="4"/>
    <x v="4"/>
    <x v="2"/>
    <x v="6"/>
    <x v="6"/>
    <x v="1"/>
    <n v="1999"/>
    <m/>
    <x v="2"/>
    <s v="Shipped"/>
  </r>
  <r>
    <n v="10415"/>
    <x v="174"/>
    <s v="C1172"/>
    <s v="Anjali"/>
    <x v="5"/>
    <x v="5"/>
    <x v="5"/>
    <x v="0"/>
    <x v="0"/>
    <x v="0"/>
    <x v="7"/>
    <n v="499"/>
    <m/>
    <x v="2"/>
    <s v="Cancelled"/>
  </r>
  <r>
    <n v="10416"/>
    <x v="32"/>
    <s v="C1105"/>
    <s v="Rahul"/>
    <x v="5"/>
    <x v="5"/>
    <x v="5"/>
    <x v="0"/>
    <x v="0"/>
    <x v="0"/>
    <x v="1"/>
    <n v="1999"/>
    <s v="Card"/>
    <x v="3"/>
    <s v="Shipped"/>
  </r>
  <r>
    <n v="10417"/>
    <x v="144"/>
    <s v="C1200"/>
    <s v="Anjali"/>
    <x v="0"/>
    <x v="0"/>
    <x v="0"/>
    <x v="1"/>
    <x v="1"/>
    <x v="1"/>
    <x v="4"/>
    <n v="799"/>
    <m/>
    <x v="2"/>
    <s v="Shipped"/>
  </r>
  <r>
    <n v="10418"/>
    <x v="34"/>
    <s v="C1147"/>
    <s v="Sneha"/>
    <x v="2"/>
    <x v="2"/>
    <x v="2"/>
    <x v="1"/>
    <x v="2"/>
    <x v="2"/>
    <x v="4"/>
    <n v="1999"/>
    <m/>
    <x v="2"/>
    <s v="Returned"/>
  </r>
  <r>
    <n v="10419"/>
    <x v="86"/>
    <s v="C1188"/>
    <s v="Amit"/>
    <x v="3"/>
    <x v="4"/>
    <x v="4"/>
    <x v="0"/>
    <x v="4"/>
    <x v="4"/>
    <x v="4"/>
    <n v="299"/>
    <s v="Cash on Delivery"/>
    <x v="1"/>
    <s v="Shipped"/>
  </r>
  <r>
    <n v="10420"/>
    <x v="155"/>
    <s v="C1082"/>
    <s v="Sneha"/>
    <x v="5"/>
    <x v="5"/>
    <x v="5"/>
    <x v="1"/>
    <x v="1"/>
    <x v="1"/>
    <x v="0"/>
    <n v="1299"/>
    <s v="Cash on Delivery"/>
    <x v="1"/>
    <s v="Cancelled"/>
  </r>
  <r>
    <n v="10421"/>
    <x v="54"/>
    <s v="C1045"/>
    <s v="Vikram"/>
    <x v="4"/>
    <x v="1"/>
    <x v="1"/>
    <x v="1"/>
    <x v="2"/>
    <x v="2"/>
    <x v="1"/>
    <n v="1999"/>
    <s v="Net Banking"/>
    <x v="0"/>
    <s v="Returned"/>
  </r>
  <r>
    <n v="10422"/>
    <x v="148"/>
    <s v="C1014"/>
    <s v="Neha"/>
    <x v="1"/>
    <x v="1"/>
    <x v="1"/>
    <x v="1"/>
    <x v="2"/>
    <x v="2"/>
    <x v="1"/>
    <n v="1299"/>
    <s v="Cash on Delivery"/>
    <x v="1"/>
    <s v="Returned"/>
  </r>
  <r>
    <n v="10423"/>
    <x v="161"/>
    <s v="C1200"/>
    <s v="Sneha"/>
    <x v="7"/>
    <x v="4"/>
    <x v="4"/>
    <x v="1"/>
    <x v="2"/>
    <x v="2"/>
    <x v="1"/>
    <n v="1999"/>
    <s v="Cash on Delivery"/>
    <x v="1"/>
    <s v="Shipped"/>
  </r>
  <r>
    <n v="10424"/>
    <x v="111"/>
    <s v="C1054"/>
    <s v="Rahul"/>
    <x v="3"/>
    <x v="2"/>
    <x v="2"/>
    <x v="1"/>
    <x v="2"/>
    <x v="2"/>
    <x v="4"/>
    <n v="499"/>
    <s v="Cash on Delivery"/>
    <x v="1"/>
    <s v="Shipped"/>
  </r>
  <r>
    <n v="10425"/>
    <x v="40"/>
    <s v="C1040"/>
    <s v="Rahul"/>
    <x v="5"/>
    <x v="5"/>
    <x v="5"/>
    <x v="2"/>
    <x v="3"/>
    <x v="3"/>
    <x v="1"/>
    <n v="299"/>
    <m/>
    <x v="2"/>
    <s v="Delivered"/>
  </r>
  <r>
    <n v="10426"/>
    <x v="55"/>
    <s v="C1074"/>
    <s v="Priya"/>
    <x v="0"/>
    <x v="0"/>
    <x v="0"/>
    <x v="0"/>
    <x v="0"/>
    <x v="0"/>
    <x v="4"/>
    <n v="1299"/>
    <s v="Cash on Delivery"/>
    <x v="1"/>
    <s v="Returned"/>
  </r>
  <r>
    <n v="10427"/>
    <x v="152"/>
    <s v="C1185"/>
    <s v="Neha"/>
    <x v="5"/>
    <x v="5"/>
    <x v="5"/>
    <x v="1"/>
    <x v="1"/>
    <x v="1"/>
    <x v="1"/>
    <n v="299"/>
    <s v="Card"/>
    <x v="3"/>
    <s v="Returned"/>
  </r>
  <r>
    <n v="10428"/>
    <x v="181"/>
    <s v="C1116"/>
    <s v="Anjali"/>
    <x v="3"/>
    <x v="2"/>
    <x v="2"/>
    <x v="0"/>
    <x v="0"/>
    <x v="0"/>
    <x v="1"/>
    <n v="799"/>
    <m/>
    <x v="2"/>
    <s v="Delivered"/>
  </r>
  <r>
    <n v="10429"/>
    <x v="67"/>
    <s v="C1182"/>
    <s v="Sneha"/>
    <x v="0"/>
    <x v="0"/>
    <x v="0"/>
    <x v="3"/>
    <x v="7"/>
    <x v="7"/>
    <x v="1"/>
    <n v="1299"/>
    <s v="Net Banking"/>
    <x v="0"/>
    <s v="Returned"/>
  </r>
  <r>
    <n v="10430"/>
    <x v="83"/>
    <s v="C1112"/>
    <s v="Karan"/>
    <x v="6"/>
    <x v="2"/>
    <x v="2"/>
    <x v="1"/>
    <x v="2"/>
    <x v="2"/>
    <x v="1"/>
    <n v="499"/>
    <s v="Cash on Delivery"/>
    <x v="1"/>
    <s v="Shipped"/>
  </r>
  <r>
    <n v="10431"/>
    <x v="60"/>
    <s v="C1028"/>
    <s v="Priya"/>
    <x v="2"/>
    <x v="2"/>
    <x v="2"/>
    <x v="2"/>
    <x v="7"/>
    <x v="7"/>
    <x v="3"/>
    <n v="499"/>
    <s v="Cash on Delivery"/>
    <x v="1"/>
    <s v="Cancelled"/>
  </r>
  <r>
    <n v="10432"/>
    <x v="32"/>
    <s v="C1029"/>
    <s v="Priya"/>
    <x v="1"/>
    <x v="1"/>
    <x v="1"/>
    <x v="0"/>
    <x v="0"/>
    <x v="0"/>
    <x v="3"/>
    <n v="1299"/>
    <s v="Card"/>
    <x v="3"/>
    <s v="Returned"/>
  </r>
  <r>
    <n v="10433"/>
    <x v="182"/>
    <s v="C1084"/>
    <s v="Karan"/>
    <x v="4"/>
    <x v="1"/>
    <x v="1"/>
    <x v="0"/>
    <x v="0"/>
    <x v="0"/>
    <x v="1"/>
    <n v="1999"/>
    <m/>
    <x v="2"/>
    <s v="Cancelled"/>
  </r>
  <r>
    <n v="10434"/>
    <x v="94"/>
    <s v="C1006"/>
    <s v="Amit"/>
    <x v="3"/>
    <x v="4"/>
    <x v="4"/>
    <x v="1"/>
    <x v="1"/>
    <x v="1"/>
    <x v="0"/>
    <n v="799"/>
    <s v="Cash on Delivery"/>
    <x v="1"/>
    <s v="Returned"/>
  </r>
  <r>
    <n v="10435"/>
    <x v="171"/>
    <s v="C1172"/>
    <s v="Amit"/>
    <x v="2"/>
    <x v="4"/>
    <x v="4"/>
    <x v="0"/>
    <x v="4"/>
    <x v="4"/>
    <x v="2"/>
    <n v="799"/>
    <s v="Cash on Delivery"/>
    <x v="1"/>
    <s v="Shipped"/>
  </r>
  <r>
    <n v="10436"/>
    <x v="82"/>
    <s v="C1052"/>
    <s v="Rahul"/>
    <x v="0"/>
    <x v="0"/>
    <x v="0"/>
    <x v="2"/>
    <x v="7"/>
    <x v="7"/>
    <x v="2"/>
    <n v="1299"/>
    <m/>
    <x v="2"/>
    <s v="Delivered"/>
  </r>
  <r>
    <n v="10437"/>
    <x v="67"/>
    <s v="C1091"/>
    <s v="Neha"/>
    <x v="0"/>
    <x v="0"/>
    <x v="0"/>
    <x v="0"/>
    <x v="0"/>
    <x v="0"/>
    <x v="0"/>
    <n v="799"/>
    <m/>
    <x v="2"/>
    <s v="Shipped"/>
  </r>
  <r>
    <n v="10438"/>
    <x v="169"/>
    <s v="C1005"/>
    <s v="Rahul"/>
    <x v="0"/>
    <x v="0"/>
    <x v="0"/>
    <x v="2"/>
    <x v="7"/>
    <x v="7"/>
    <x v="0"/>
    <n v="1299"/>
    <s v="Cash on Delivery"/>
    <x v="1"/>
    <s v="Delivered"/>
  </r>
  <r>
    <n v="10439"/>
    <x v="14"/>
    <s v="C1109"/>
    <s v="Rahul"/>
    <x v="7"/>
    <x v="2"/>
    <x v="2"/>
    <x v="1"/>
    <x v="1"/>
    <x v="1"/>
    <x v="0"/>
    <n v="499"/>
    <s v="Cash on Delivery"/>
    <x v="1"/>
    <s v="Shipped"/>
  </r>
  <r>
    <n v="10440"/>
    <x v="121"/>
    <s v="C1087"/>
    <s v="Sneha"/>
    <x v="1"/>
    <x v="1"/>
    <x v="1"/>
    <x v="1"/>
    <x v="1"/>
    <x v="1"/>
    <x v="0"/>
    <n v="499"/>
    <s v="Cash on Delivery"/>
    <x v="1"/>
    <s v="Delivered"/>
  </r>
  <r>
    <n v="10441"/>
    <x v="67"/>
    <s v="C1021"/>
    <s v="Vikram"/>
    <x v="0"/>
    <x v="0"/>
    <x v="0"/>
    <x v="1"/>
    <x v="1"/>
    <x v="1"/>
    <x v="5"/>
    <n v="799"/>
    <m/>
    <x v="2"/>
    <s v="Cancelled"/>
  </r>
  <r>
    <n v="10442"/>
    <x v="183"/>
    <s v="C1167"/>
    <s v="Anjali"/>
    <x v="3"/>
    <x v="2"/>
    <x v="2"/>
    <x v="0"/>
    <x v="0"/>
    <x v="0"/>
    <x v="0"/>
    <n v="1999"/>
    <s v="Net Banking"/>
    <x v="0"/>
    <s v="Delivered"/>
  </r>
  <r>
    <n v="10443"/>
    <x v="169"/>
    <s v="C1192"/>
    <s v="Sneha"/>
    <x v="5"/>
    <x v="5"/>
    <x v="5"/>
    <x v="3"/>
    <x v="7"/>
    <x v="7"/>
    <x v="0"/>
    <n v="299"/>
    <s v="Cash on Delivery"/>
    <x v="1"/>
    <s v="Returned"/>
  </r>
  <r>
    <n v="10444"/>
    <x v="13"/>
    <s v="C1093"/>
    <s v="Rahul"/>
    <x v="0"/>
    <x v="0"/>
    <x v="0"/>
    <x v="1"/>
    <x v="1"/>
    <x v="1"/>
    <x v="3"/>
    <n v="499"/>
    <s v="Card"/>
    <x v="3"/>
    <s v="Cancelled"/>
  </r>
  <r>
    <n v="10445"/>
    <x v="105"/>
    <s v="C1027"/>
    <s v="Sneha"/>
    <x v="4"/>
    <x v="1"/>
    <x v="1"/>
    <x v="1"/>
    <x v="1"/>
    <x v="1"/>
    <x v="2"/>
    <n v="1999"/>
    <m/>
    <x v="2"/>
    <s v="Shipped"/>
  </r>
  <r>
    <n v="10446"/>
    <x v="48"/>
    <s v="C1038"/>
    <s v="Sneha"/>
    <x v="0"/>
    <x v="0"/>
    <x v="0"/>
    <x v="1"/>
    <x v="2"/>
    <x v="2"/>
    <x v="1"/>
    <n v="799"/>
    <s v="Cash on Delivery"/>
    <x v="1"/>
    <s v="Cancelled"/>
  </r>
  <r>
    <n v="10447"/>
    <x v="1"/>
    <s v="C1117"/>
    <s v="Sneha"/>
    <x v="0"/>
    <x v="0"/>
    <x v="0"/>
    <x v="1"/>
    <x v="2"/>
    <x v="2"/>
    <x v="1"/>
    <n v="799"/>
    <m/>
    <x v="2"/>
    <s v="Shipped"/>
  </r>
  <r>
    <n v="10448"/>
    <x v="29"/>
    <s v="C1115"/>
    <s v="Karan"/>
    <x v="2"/>
    <x v="4"/>
    <x v="4"/>
    <x v="1"/>
    <x v="1"/>
    <x v="1"/>
    <x v="4"/>
    <n v="299"/>
    <m/>
    <x v="2"/>
    <s v="Shipped"/>
  </r>
  <r>
    <n v="10449"/>
    <x v="149"/>
    <s v="C1158"/>
    <s v="Rahul"/>
    <x v="2"/>
    <x v="4"/>
    <x v="4"/>
    <x v="2"/>
    <x v="3"/>
    <x v="3"/>
    <x v="4"/>
    <n v="1999"/>
    <s v="Cash on Delivery"/>
    <x v="1"/>
    <s v="Shipped"/>
  </r>
  <r>
    <n v="10450"/>
    <x v="117"/>
    <s v="C1097"/>
    <s v="Anjali"/>
    <x v="2"/>
    <x v="3"/>
    <x v="3"/>
    <x v="2"/>
    <x v="6"/>
    <x v="6"/>
    <x v="0"/>
    <n v="1299"/>
    <s v="Cash on Delivery"/>
    <x v="1"/>
    <s v="Shipped"/>
  </r>
  <r>
    <n v="10451"/>
    <x v="53"/>
    <s v="C1000"/>
    <s v="Neha"/>
    <x v="6"/>
    <x v="4"/>
    <x v="4"/>
    <x v="1"/>
    <x v="1"/>
    <x v="1"/>
    <x v="0"/>
    <n v="799"/>
    <s v="Net Banking"/>
    <x v="0"/>
    <s v="Cancelled"/>
  </r>
  <r>
    <n v="10452"/>
    <x v="118"/>
    <s v="C1137"/>
    <s v="Karan"/>
    <x v="2"/>
    <x v="2"/>
    <x v="2"/>
    <x v="0"/>
    <x v="0"/>
    <x v="0"/>
    <x v="3"/>
    <n v="499"/>
    <m/>
    <x v="2"/>
    <s v="Delivered"/>
  </r>
  <r>
    <n v="10453"/>
    <x v="70"/>
    <s v="C1078"/>
    <s v="Karan"/>
    <x v="1"/>
    <x v="1"/>
    <x v="1"/>
    <x v="2"/>
    <x v="6"/>
    <x v="6"/>
    <x v="2"/>
    <n v="1999"/>
    <s v="Cash on Delivery"/>
    <x v="1"/>
    <s v="Delivered"/>
  </r>
  <r>
    <n v="10454"/>
    <x v="184"/>
    <s v="C1039"/>
    <s v="Karan"/>
    <x v="0"/>
    <x v="0"/>
    <x v="0"/>
    <x v="0"/>
    <x v="4"/>
    <x v="4"/>
    <x v="2"/>
    <n v="499"/>
    <s v="Cash on Delivery"/>
    <x v="1"/>
    <s v="Delivered"/>
  </r>
  <r>
    <n v="10455"/>
    <x v="96"/>
    <s v="C1122"/>
    <s v="Sneha"/>
    <x v="5"/>
    <x v="5"/>
    <x v="5"/>
    <x v="0"/>
    <x v="0"/>
    <x v="0"/>
    <x v="1"/>
    <n v="-100"/>
    <s v="Net Banking"/>
    <x v="0"/>
    <s v="Delivered"/>
  </r>
  <r>
    <n v="10456"/>
    <x v="2"/>
    <s v="C1098"/>
    <s v="Rahul"/>
    <x v="1"/>
    <x v="3"/>
    <x v="3"/>
    <x v="1"/>
    <x v="1"/>
    <x v="1"/>
    <x v="4"/>
    <n v="499"/>
    <m/>
    <x v="2"/>
    <s v="Returned"/>
  </r>
  <r>
    <n v="10457"/>
    <x v="25"/>
    <s v="C1170"/>
    <s v="Sneha"/>
    <x v="4"/>
    <x v="1"/>
    <x v="1"/>
    <x v="1"/>
    <x v="2"/>
    <x v="2"/>
    <x v="1"/>
    <n v="299"/>
    <s v="Net Banking"/>
    <x v="0"/>
    <s v="Cancelled"/>
  </r>
  <r>
    <n v="10458"/>
    <x v="116"/>
    <s v="C1190"/>
    <s v="Anjali"/>
    <x v="0"/>
    <x v="0"/>
    <x v="0"/>
    <x v="0"/>
    <x v="0"/>
    <x v="0"/>
    <x v="3"/>
    <n v="1299"/>
    <m/>
    <x v="2"/>
    <s v="Cancelled"/>
  </r>
  <r>
    <n v="10459"/>
    <x v="185"/>
    <s v="C1037"/>
    <s v="Karan"/>
    <x v="1"/>
    <x v="1"/>
    <x v="1"/>
    <x v="1"/>
    <x v="2"/>
    <x v="2"/>
    <x v="4"/>
    <n v="1299"/>
    <m/>
    <x v="2"/>
    <s v="Delivered"/>
  </r>
  <r>
    <n v="10460"/>
    <x v="40"/>
    <s v="C1039"/>
    <s v="Anjali"/>
    <x v="1"/>
    <x v="1"/>
    <x v="1"/>
    <x v="3"/>
    <x v="7"/>
    <x v="7"/>
    <x v="2"/>
    <n v="1999"/>
    <m/>
    <x v="2"/>
    <s v="Returned"/>
  </r>
  <r>
    <n v="10461"/>
    <x v="133"/>
    <s v="C1063"/>
    <s v="Vikram"/>
    <x v="0"/>
    <x v="0"/>
    <x v="0"/>
    <x v="0"/>
    <x v="4"/>
    <x v="4"/>
    <x v="0"/>
    <n v="799"/>
    <s v="Card"/>
    <x v="3"/>
    <s v="Shipped"/>
  </r>
  <r>
    <n v="10462"/>
    <x v="89"/>
    <s v="C1008"/>
    <s v="Neha"/>
    <x v="0"/>
    <x v="0"/>
    <x v="0"/>
    <x v="0"/>
    <x v="4"/>
    <x v="4"/>
    <x v="0"/>
    <n v="799"/>
    <s v="Card"/>
    <x v="3"/>
    <s v="Delivered"/>
  </r>
  <r>
    <n v="10463"/>
    <x v="112"/>
    <s v="C1081"/>
    <s v="Rahul"/>
    <x v="3"/>
    <x v="4"/>
    <x v="4"/>
    <x v="2"/>
    <x v="6"/>
    <x v="6"/>
    <x v="3"/>
    <n v="1299"/>
    <s v="Net Banking"/>
    <x v="0"/>
    <s v="Returned"/>
  </r>
  <r>
    <n v="10464"/>
    <x v="162"/>
    <s v="C1094"/>
    <s v="Amit"/>
    <x v="4"/>
    <x v="1"/>
    <x v="1"/>
    <x v="2"/>
    <x v="6"/>
    <x v="6"/>
    <x v="2"/>
    <n v="499"/>
    <s v="Cash on Delivery"/>
    <x v="1"/>
    <s v="Returned"/>
  </r>
  <r>
    <n v="10465"/>
    <x v="86"/>
    <s v="C1012"/>
    <s v="Anjali"/>
    <x v="0"/>
    <x v="0"/>
    <x v="0"/>
    <x v="0"/>
    <x v="4"/>
    <x v="4"/>
    <x v="1"/>
    <n v="1999"/>
    <s v="Card"/>
    <x v="3"/>
    <s v="Cancelled"/>
  </r>
  <r>
    <n v="10466"/>
    <x v="68"/>
    <s v="C1078"/>
    <s v="Sneha"/>
    <x v="3"/>
    <x v="2"/>
    <x v="2"/>
    <x v="1"/>
    <x v="2"/>
    <x v="2"/>
    <x v="1"/>
    <n v="1999"/>
    <s v="Cash on Delivery"/>
    <x v="1"/>
    <s v="Delivered"/>
  </r>
  <r>
    <n v="10467"/>
    <x v="92"/>
    <s v="C1072"/>
    <s v="Sneha"/>
    <x v="2"/>
    <x v="2"/>
    <x v="2"/>
    <x v="1"/>
    <x v="2"/>
    <x v="2"/>
    <x v="4"/>
    <n v="799"/>
    <m/>
    <x v="2"/>
    <s v="Delivered"/>
  </r>
  <r>
    <n v="10468"/>
    <x v="15"/>
    <s v="C1172"/>
    <s v="Sneha"/>
    <x v="4"/>
    <x v="3"/>
    <x v="3"/>
    <x v="0"/>
    <x v="0"/>
    <x v="0"/>
    <x v="2"/>
    <n v="799"/>
    <m/>
    <x v="2"/>
    <s v="Returned"/>
  </r>
  <r>
    <n v="10469"/>
    <x v="104"/>
    <s v="C1083"/>
    <s v="Anjali"/>
    <x v="0"/>
    <x v="0"/>
    <x v="0"/>
    <x v="1"/>
    <x v="1"/>
    <x v="1"/>
    <x v="0"/>
    <n v="1999"/>
    <m/>
    <x v="2"/>
    <s v="Shipped"/>
  </r>
  <r>
    <n v="10470"/>
    <x v="143"/>
    <s v="C1167"/>
    <s v="Amit"/>
    <x v="5"/>
    <x v="5"/>
    <x v="5"/>
    <x v="1"/>
    <x v="2"/>
    <x v="2"/>
    <x v="2"/>
    <n v="499"/>
    <s v="Cash on Delivery"/>
    <x v="1"/>
    <s v="Cancelled"/>
  </r>
  <r>
    <n v="10471"/>
    <x v="99"/>
    <s v="C1114"/>
    <s v="Anjali"/>
    <x v="5"/>
    <x v="5"/>
    <x v="5"/>
    <x v="1"/>
    <x v="2"/>
    <x v="2"/>
    <x v="3"/>
    <n v="799"/>
    <s v="Card"/>
    <x v="3"/>
    <s v="Shipped"/>
  </r>
  <r>
    <n v="10472"/>
    <x v="31"/>
    <s v="C1175"/>
    <s v="Priya"/>
    <x v="3"/>
    <x v="4"/>
    <x v="4"/>
    <x v="1"/>
    <x v="1"/>
    <x v="1"/>
    <x v="2"/>
    <n v="299"/>
    <s v="Net Banking"/>
    <x v="0"/>
    <s v="Shipped"/>
  </r>
  <r>
    <n v="10473"/>
    <x v="99"/>
    <s v="C1116"/>
    <s v="Priya"/>
    <x v="0"/>
    <x v="3"/>
    <x v="3"/>
    <x v="2"/>
    <x v="6"/>
    <x v="6"/>
    <x v="0"/>
    <n v="799"/>
    <s v="Cash on Delivery"/>
    <x v="1"/>
    <s v="Cancelled"/>
  </r>
  <r>
    <n v="10474"/>
    <x v="152"/>
    <s v="C1025"/>
    <s v="Rahul"/>
    <x v="6"/>
    <x v="4"/>
    <x v="4"/>
    <x v="0"/>
    <x v="4"/>
    <x v="4"/>
    <x v="3"/>
    <n v="1999"/>
    <s v="Card"/>
    <x v="3"/>
    <s v="Delivered"/>
  </r>
  <r>
    <n v="10475"/>
    <x v="25"/>
    <s v="C1041"/>
    <s v="Vikram"/>
    <x v="5"/>
    <x v="5"/>
    <x v="5"/>
    <x v="0"/>
    <x v="0"/>
    <x v="0"/>
    <x v="3"/>
    <n v="799"/>
    <s v="Cash on Delivery"/>
    <x v="1"/>
    <s v="Delivered"/>
  </r>
  <r>
    <n v="10476"/>
    <x v="68"/>
    <s v="C1088"/>
    <s v="Neha"/>
    <x v="0"/>
    <x v="0"/>
    <x v="0"/>
    <x v="0"/>
    <x v="0"/>
    <x v="0"/>
    <x v="1"/>
    <n v="799"/>
    <m/>
    <x v="2"/>
    <s v="Cancelled"/>
  </r>
  <r>
    <n v="10477"/>
    <x v="34"/>
    <s v="C1144"/>
    <s v="Anjali"/>
    <x v="1"/>
    <x v="1"/>
    <x v="1"/>
    <x v="3"/>
    <x v="7"/>
    <x v="7"/>
    <x v="1"/>
    <n v="499"/>
    <s v="Card"/>
    <x v="3"/>
    <s v="Shipped"/>
  </r>
  <r>
    <n v="10478"/>
    <x v="75"/>
    <s v="C1056"/>
    <s v="Neha"/>
    <x v="6"/>
    <x v="2"/>
    <x v="2"/>
    <x v="1"/>
    <x v="1"/>
    <x v="1"/>
    <x v="3"/>
    <n v="1299"/>
    <m/>
    <x v="2"/>
    <s v="Delivered"/>
  </r>
  <r>
    <n v="10479"/>
    <x v="44"/>
    <s v="C1169"/>
    <s v="Karan"/>
    <x v="2"/>
    <x v="2"/>
    <x v="2"/>
    <x v="1"/>
    <x v="2"/>
    <x v="2"/>
    <x v="4"/>
    <n v="499"/>
    <s v="Cash on Delivery"/>
    <x v="1"/>
    <s v="Shipped"/>
  </r>
  <r>
    <n v="10480"/>
    <x v="158"/>
    <s v="C1023"/>
    <s v="Karan"/>
    <x v="1"/>
    <x v="1"/>
    <x v="1"/>
    <x v="3"/>
    <x v="6"/>
    <x v="6"/>
    <x v="1"/>
    <n v="1999"/>
    <m/>
    <x v="2"/>
    <s v="Shipped"/>
  </r>
  <r>
    <n v="10481"/>
    <x v="35"/>
    <s v="C1055"/>
    <s v="Rahul"/>
    <x v="0"/>
    <x v="0"/>
    <x v="0"/>
    <x v="0"/>
    <x v="0"/>
    <x v="0"/>
    <x v="3"/>
    <n v="499"/>
    <m/>
    <x v="2"/>
    <s v="Shipped"/>
  </r>
  <r>
    <n v="10482"/>
    <x v="186"/>
    <s v="C1144"/>
    <s v="Sneha"/>
    <x v="5"/>
    <x v="5"/>
    <x v="5"/>
    <x v="1"/>
    <x v="2"/>
    <x v="2"/>
    <x v="4"/>
    <n v="1999"/>
    <s v="Card"/>
    <x v="3"/>
    <s v="Shipped"/>
  </r>
  <r>
    <n v="10483"/>
    <x v="109"/>
    <s v="C1196"/>
    <s v="Sneha"/>
    <x v="5"/>
    <x v="5"/>
    <x v="5"/>
    <x v="0"/>
    <x v="0"/>
    <x v="0"/>
    <x v="4"/>
    <n v="1999"/>
    <m/>
    <x v="2"/>
    <s v="Delivered"/>
  </r>
  <r>
    <n v="10484"/>
    <x v="187"/>
    <s v="C1046"/>
    <s v="Sneha"/>
    <x v="1"/>
    <x v="1"/>
    <x v="1"/>
    <x v="1"/>
    <x v="2"/>
    <x v="2"/>
    <x v="0"/>
    <n v="299"/>
    <m/>
    <x v="2"/>
    <s v="Returned"/>
  </r>
  <r>
    <n v="10485"/>
    <x v="138"/>
    <s v="C1172"/>
    <s v="Neha"/>
    <x v="5"/>
    <x v="5"/>
    <x v="5"/>
    <x v="3"/>
    <x v="6"/>
    <x v="6"/>
    <x v="2"/>
    <n v="799"/>
    <s v="Cash on Delivery"/>
    <x v="1"/>
    <s v="Returned"/>
  </r>
  <r>
    <n v="10486"/>
    <x v="111"/>
    <s v="C1068"/>
    <s v="Amit"/>
    <x v="7"/>
    <x v="4"/>
    <x v="4"/>
    <x v="0"/>
    <x v="4"/>
    <x v="4"/>
    <x v="1"/>
    <n v="1299"/>
    <m/>
    <x v="2"/>
    <s v="Delivered"/>
  </r>
  <r>
    <n v="10487"/>
    <x v="17"/>
    <s v="C1032"/>
    <s v="Rahul"/>
    <x v="6"/>
    <x v="4"/>
    <x v="4"/>
    <x v="1"/>
    <x v="1"/>
    <x v="1"/>
    <x v="0"/>
    <n v="1999"/>
    <m/>
    <x v="2"/>
    <s v="Shipped"/>
  </r>
  <r>
    <n v="10488"/>
    <x v="151"/>
    <s v="C1143"/>
    <s v="Neha"/>
    <x v="4"/>
    <x v="1"/>
    <x v="1"/>
    <x v="1"/>
    <x v="1"/>
    <x v="1"/>
    <x v="0"/>
    <n v="299"/>
    <s v="Cash on Delivery"/>
    <x v="1"/>
    <s v="Cancelled"/>
  </r>
  <r>
    <n v="10489"/>
    <x v="133"/>
    <s v="C1148"/>
    <s v="Karan"/>
    <x v="3"/>
    <x v="4"/>
    <x v="4"/>
    <x v="1"/>
    <x v="5"/>
    <x v="5"/>
    <x v="0"/>
    <n v="1999"/>
    <s v="Cash on Delivery"/>
    <x v="1"/>
    <s v="Delivered"/>
  </r>
  <r>
    <n v="10490"/>
    <x v="147"/>
    <s v="C1142"/>
    <s v="Sneha"/>
    <x v="2"/>
    <x v="2"/>
    <x v="2"/>
    <x v="0"/>
    <x v="0"/>
    <x v="0"/>
    <x v="4"/>
    <n v="499"/>
    <m/>
    <x v="2"/>
    <s v="Shipped"/>
  </r>
  <r>
    <n v="10491"/>
    <x v="127"/>
    <s v="C1166"/>
    <s v="Vikram"/>
    <x v="4"/>
    <x v="1"/>
    <x v="1"/>
    <x v="1"/>
    <x v="1"/>
    <x v="1"/>
    <x v="4"/>
    <n v="1299"/>
    <s v="Net Banking"/>
    <x v="0"/>
    <s v="Delivered"/>
  </r>
  <r>
    <n v="10492"/>
    <x v="34"/>
    <s v="C1043"/>
    <s v="Neha"/>
    <x v="5"/>
    <x v="5"/>
    <x v="5"/>
    <x v="0"/>
    <x v="4"/>
    <x v="4"/>
    <x v="1"/>
    <n v="1999"/>
    <m/>
    <x v="2"/>
    <s v="Cancelled"/>
  </r>
  <r>
    <n v="10493"/>
    <x v="102"/>
    <s v="C1023"/>
    <s v="Rahul"/>
    <x v="4"/>
    <x v="1"/>
    <x v="1"/>
    <x v="2"/>
    <x v="7"/>
    <x v="7"/>
    <x v="1"/>
    <n v="1999"/>
    <m/>
    <x v="2"/>
    <s v="Cancelled"/>
  </r>
  <r>
    <n v="10494"/>
    <x v="153"/>
    <s v="C1050"/>
    <s v="Priya"/>
    <x v="3"/>
    <x v="2"/>
    <x v="2"/>
    <x v="0"/>
    <x v="0"/>
    <x v="0"/>
    <x v="3"/>
    <n v="1299"/>
    <m/>
    <x v="2"/>
    <s v="Delivered"/>
  </r>
  <r>
    <n v="10495"/>
    <x v="108"/>
    <s v="C1197"/>
    <s v="Vikram"/>
    <x v="5"/>
    <x v="5"/>
    <x v="5"/>
    <x v="0"/>
    <x v="0"/>
    <x v="0"/>
    <x v="4"/>
    <n v="299"/>
    <m/>
    <x v="2"/>
    <s v="Cancelled"/>
  </r>
  <r>
    <n v="10496"/>
    <x v="31"/>
    <s v="C1189"/>
    <s v="Anjali"/>
    <x v="5"/>
    <x v="5"/>
    <x v="5"/>
    <x v="1"/>
    <x v="2"/>
    <x v="2"/>
    <x v="1"/>
    <n v="1999"/>
    <s v="Net Banking"/>
    <x v="0"/>
    <s v="Delivered"/>
  </r>
  <r>
    <n v="10497"/>
    <x v="51"/>
    <s v="C1053"/>
    <s v="Karan"/>
    <x v="6"/>
    <x v="2"/>
    <x v="2"/>
    <x v="0"/>
    <x v="0"/>
    <x v="0"/>
    <x v="4"/>
    <n v="799"/>
    <m/>
    <x v="2"/>
    <s v="Shipped"/>
  </r>
  <r>
    <n v="10498"/>
    <x v="110"/>
    <s v="C1016"/>
    <s v="Anjali"/>
    <x v="5"/>
    <x v="5"/>
    <x v="5"/>
    <x v="3"/>
    <x v="6"/>
    <x v="6"/>
    <x v="0"/>
    <n v="299"/>
    <s v="Net Banking"/>
    <x v="0"/>
    <s v="Cancelled"/>
  </r>
  <r>
    <n v="10499"/>
    <x v="89"/>
    <s v="C1180"/>
    <s v="Rahul"/>
    <x v="0"/>
    <x v="0"/>
    <x v="0"/>
    <x v="1"/>
    <x v="2"/>
    <x v="2"/>
    <x v="3"/>
    <n v="1299"/>
    <s v="Card"/>
    <x v="3"/>
    <s v="Cancelled"/>
  </r>
  <r>
    <n v="10500"/>
    <x v="47"/>
    <s v="C1123"/>
    <s v="Anjali"/>
    <x v="5"/>
    <x v="5"/>
    <x v="5"/>
    <x v="0"/>
    <x v="4"/>
    <x v="4"/>
    <x v="0"/>
    <n v="799"/>
    <m/>
    <x v="2"/>
    <s v="Shipped"/>
  </r>
  <r>
    <n v="10501"/>
    <x v="32"/>
    <s v="C1191"/>
    <s v="Rahul"/>
    <x v="4"/>
    <x v="1"/>
    <x v="1"/>
    <x v="0"/>
    <x v="4"/>
    <x v="4"/>
    <x v="1"/>
    <n v="1999"/>
    <m/>
    <x v="2"/>
    <s v="Shipped"/>
  </r>
  <r>
    <n v="10502"/>
    <x v="188"/>
    <s v="C1036"/>
    <s v="Neha"/>
    <x v="5"/>
    <x v="5"/>
    <x v="5"/>
    <x v="0"/>
    <x v="0"/>
    <x v="0"/>
    <x v="4"/>
    <n v="1999"/>
    <s v="Net Banking"/>
    <x v="0"/>
    <s v="Returned"/>
  </r>
  <r>
    <n v="10503"/>
    <x v="22"/>
    <s v="C1062"/>
    <s v="Neha"/>
    <x v="0"/>
    <x v="3"/>
    <x v="3"/>
    <x v="1"/>
    <x v="2"/>
    <x v="2"/>
    <x v="4"/>
    <n v="1299"/>
    <s v="Net Banking"/>
    <x v="0"/>
    <s v="Returned"/>
  </r>
  <r>
    <n v="10504"/>
    <x v="71"/>
    <s v="C1160"/>
    <s v="Rahul"/>
    <x v="3"/>
    <x v="4"/>
    <x v="4"/>
    <x v="1"/>
    <x v="2"/>
    <x v="2"/>
    <x v="4"/>
    <n v="499"/>
    <s v="Card"/>
    <x v="3"/>
    <s v="Cancelled"/>
  </r>
  <r>
    <n v="10505"/>
    <x v="71"/>
    <s v="C1142"/>
    <s v="Neha"/>
    <x v="2"/>
    <x v="2"/>
    <x v="2"/>
    <x v="3"/>
    <x v="7"/>
    <x v="7"/>
    <x v="1"/>
    <n v="799"/>
    <s v="Cash on Delivery"/>
    <x v="1"/>
    <s v="Cancelled"/>
  </r>
  <r>
    <n v="10506"/>
    <x v="147"/>
    <s v="C1107"/>
    <s v="Anjali"/>
    <x v="5"/>
    <x v="5"/>
    <x v="5"/>
    <x v="1"/>
    <x v="5"/>
    <x v="5"/>
    <x v="2"/>
    <n v="499"/>
    <m/>
    <x v="2"/>
    <s v="Shipped"/>
  </r>
  <r>
    <n v="10507"/>
    <x v="108"/>
    <s v="C1115"/>
    <s v="Anjali"/>
    <x v="2"/>
    <x v="2"/>
    <x v="2"/>
    <x v="0"/>
    <x v="0"/>
    <x v="0"/>
    <x v="0"/>
    <n v="499"/>
    <m/>
    <x v="2"/>
    <s v="Shipped"/>
  </r>
  <r>
    <n v="10508"/>
    <x v="167"/>
    <s v="C1063"/>
    <s v="Sneha"/>
    <x v="2"/>
    <x v="4"/>
    <x v="4"/>
    <x v="0"/>
    <x v="4"/>
    <x v="4"/>
    <x v="2"/>
    <n v="799"/>
    <s v="Net Banking"/>
    <x v="0"/>
    <s v="Returned"/>
  </r>
  <r>
    <n v="10509"/>
    <x v="3"/>
    <s v="C1011"/>
    <s v="Sneha"/>
    <x v="0"/>
    <x v="0"/>
    <x v="0"/>
    <x v="1"/>
    <x v="1"/>
    <x v="1"/>
    <x v="3"/>
    <n v="299"/>
    <s v="Net Banking"/>
    <x v="0"/>
    <s v="Shipped"/>
  </r>
  <r>
    <n v="10510"/>
    <x v="115"/>
    <s v="C1163"/>
    <s v="Neha"/>
    <x v="3"/>
    <x v="2"/>
    <x v="2"/>
    <x v="0"/>
    <x v="0"/>
    <x v="0"/>
    <x v="0"/>
    <n v="299"/>
    <s v="Net Banking"/>
    <x v="0"/>
    <s v="Cancelled"/>
  </r>
  <r>
    <n v="10511"/>
    <x v="20"/>
    <s v="C1096"/>
    <s v="Karan"/>
    <x v="5"/>
    <x v="5"/>
    <x v="5"/>
    <x v="0"/>
    <x v="0"/>
    <x v="0"/>
    <x v="3"/>
    <n v="799"/>
    <s v="Card"/>
    <x v="3"/>
    <s v="Cancelled"/>
  </r>
  <r>
    <n v="10512"/>
    <x v="42"/>
    <s v="C1063"/>
    <s v="Sneha"/>
    <x v="2"/>
    <x v="2"/>
    <x v="2"/>
    <x v="0"/>
    <x v="4"/>
    <x v="4"/>
    <x v="0"/>
    <n v="1999"/>
    <m/>
    <x v="2"/>
    <s v="Delivered"/>
  </r>
  <r>
    <n v="10513"/>
    <x v="100"/>
    <s v="C1185"/>
    <s v="Karan"/>
    <x v="2"/>
    <x v="2"/>
    <x v="2"/>
    <x v="1"/>
    <x v="1"/>
    <x v="1"/>
    <x v="3"/>
    <n v="1999"/>
    <s v="Net Banking"/>
    <x v="0"/>
    <s v="Cancelled"/>
  </r>
  <r>
    <n v="10514"/>
    <x v="189"/>
    <s v="C1022"/>
    <s v="Rahul"/>
    <x v="6"/>
    <x v="2"/>
    <x v="2"/>
    <x v="3"/>
    <x v="3"/>
    <x v="3"/>
    <x v="4"/>
    <n v="1299"/>
    <m/>
    <x v="2"/>
    <s v="Returned"/>
  </r>
  <r>
    <n v="10515"/>
    <x v="92"/>
    <s v="C1082"/>
    <s v="Neha"/>
    <x v="5"/>
    <x v="5"/>
    <x v="5"/>
    <x v="1"/>
    <x v="2"/>
    <x v="2"/>
    <x v="0"/>
    <n v="1299"/>
    <s v="Card"/>
    <x v="3"/>
    <s v="Returned"/>
  </r>
  <r>
    <n v="10516"/>
    <x v="27"/>
    <s v="C1199"/>
    <s v="Rahul"/>
    <x v="4"/>
    <x v="1"/>
    <x v="1"/>
    <x v="0"/>
    <x v="4"/>
    <x v="4"/>
    <x v="0"/>
    <n v="1299"/>
    <m/>
    <x v="2"/>
    <s v="Delivered"/>
  </r>
  <r>
    <n v="10517"/>
    <x v="85"/>
    <s v="C1020"/>
    <s v="Sneha"/>
    <x v="1"/>
    <x v="1"/>
    <x v="1"/>
    <x v="1"/>
    <x v="1"/>
    <x v="1"/>
    <x v="3"/>
    <n v="1299"/>
    <s v="Net Banking"/>
    <x v="0"/>
    <s v="Shipped"/>
  </r>
  <r>
    <n v="10518"/>
    <x v="2"/>
    <s v="C1123"/>
    <s v="Karan"/>
    <x v="3"/>
    <x v="2"/>
    <x v="2"/>
    <x v="0"/>
    <x v="5"/>
    <x v="5"/>
    <x v="1"/>
    <n v="799"/>
    <s v="Card"/>
    <x v="3"/>
    <s v="Cancelled"/>
  </r>
  <r>
    <n v="10519"/>
    <x v="138"/>
    <s v="C1131"/>
    <s v="Priya"/>
    <x v="3"/>
    <x v="2"/>
    <x v="2"/>
    <x v="2"/>
    <x v="7"/>
    <x v="7"/>
    <x v="0"/>
    <n v="299"/>
    <m/>
    <x v="2"/>
    <s v="Cancelled"/>
  </r>
  <r>
    <n v="10520"/>
    <x v="180"/>
    <s v="C1164"/>
    <s v="Vikram"/>
    <x v="1"/>
    <x v="1"/>
    <x v="1"/>
    <x v="0"/>
    <x v="0"/>
    <x v="0"/>
    <x v="0"/>
    <n v="799"/>
    <s v="Net Banking"/>
    <x v="0"/>
    <s v="Shipped"/>
  </r>
  <r>
    <n v="10521"/>
    <x v="85"/>
    <s v="C1005"/>
    <s v="Sneha"/>
    <x v="0"/>
    <x v="3"/>
    <x v="3"/>
    <x v="3"/>
    <x v="6"/>
    <x v="6"/>
    <x v="4"/>
    <n v="499"/>
    <m/>
    <x v="2"/>
    <s v="Cancelled"/>
  </r>
  <r>
    <n v="10522"/>
    <x v="19"/>
    <s v="C1181"/>
    <s v="Karan"/>
    <x v="2"/>
    <x v="2"/>
    <x v="2"/>
    <x v="3"/>
    <x v="7"/>
    <x v="7"/>
    <x v="0"/>
    <n v="1299"/>
    <m/>
    <x v="2"/>
    <s v="Returned"/>
  </r>
  <r>
    <n v="10523"/>
    <x v="63"/>
    <s v="C1199"/>
    <s v="Neha"/>
    <x v="5"/>
    <x v="5"/>
    <x v="5"/>
    <x v="2"/>
    <x v="6"/>
    <x v="6"/>
    <x v="0"/>
    <n v="499"/>
    <s v="Net Banking"/>
    <x v="0"/>
    <s v="Returned"/>
  </r>
  <r>
    <n v="10524"/>
    <x v="179"/>
    <s v="C1108"/>
    <s v="Priya"/>
    <x v="0"/>
    <x v="0"/>
    <x v="0"/>
    <x v="1"/>
    <x v="1"/>
    <x v="1"/>
    <x v="0"/>
    <n v="799"/>
    <s v="Net Banking"/>
    <x v="0"/>
    <s v="Shipped"/>
  </r>
  <r>
    <n v="10525"/>
    <x v="122"/>
    <s v="C1077"/>
    <s v="Vikram"/>
    <x v="6"/>
    <x v="2"/>
    <x v="2"/>
    <x v="1"/>
    <x v="1"/>
    <x v="1"/>
    <x v="0"/>
    <n v="1999"/>
    <s v="Card"/>
    <x v="3"/>
    <s v="Returned"/>
  </r>
  <r>
    <n v="10526"/>
    <x v="190"/>
    <s v="C1183"/>
    <s v="Priya"/>
    <x v="1"/>
    <x v="1"/>
    <x v="1"/>
    <x v="1"/>
    <x v="2"/>
    <x v="2"/>
    <x v="2"/>
    <n v="1299"/>
    <m/>
    <x v="2"/>
    <s v="Delivered"/>
  </r>
  <r>
    <n v="10527"/>
    <x v="138"/>
    <s v="C1039"/>
    <s v="Sneha"/>
    <x v="5"/>
    <x v="5"/>
    <x v="5"/>
    <x v="1"/>
    <x v="1"/>
    <x v="1"/>
    <x v="1"/>
    <n v="1299"/>
    <s v="Card"/>
    <x v="3"/>
    <s v="Shipped"/>
  </r>
  <r>
    <n v="10528"/>
    <x v="20"/>
    <s v="C1106"/>
    <s v="Sneha"/>
    <x v="6"/>
    <x v="3"/>
    <x v="3"/>
    <x v="3"/>
    <x v="6"/>
    <x v="6"/>
    <x v="1"/>
    <n v="299"/>
    <s v="Card"/>
    <x v="3"/>
    <s v="Cancelled"/>
  </r>
  <r>
    <n v="10529"/>
    <x v="68"/>
    <s v="C1082"/>
    <s v="Vikram"/>
    <x v="0"/>
    <x v="0"/>
    <x v="0"/>
    <x v="2"/>
    <x v="7"/>
    <x v="7"/>
    <x v="4"/>
    <n v="499"/>
    <m/>
    <x v="2"/>
    <s v="Cancelled"/>
  </r>
  <r>
    <n v="10530"/>
    <x v="161"/>
    <s v="C1071"/>
    <s v="Vikram"/>
    <x v="2"/>
    <x v="4"/>
    <x v="4"/>
    <x v="1"/>
    <x v="1"/>
    <x v="1"/>
    <x v="1"/>
    <n v="1999"/>
    <s v="Net Banking"/>
    <x v="0"/>
    <s v="Delivered"/>
  </r>
  <r>
    <n v="10531"/>
    <x v="191"/>
    <s v="C1029"/>
    <s v="Neha"/>
    <x v="6"/>
    <x v="2"/>
    <x v="2"/>
    <x v="0"/>
    <x v="4"/>
    <x v="4"/>
    <x v="4"/>
    <n v="1299"/>
    <s v="Cash on Delivery"/>
    <x v="1"/>
    <s v="Cancelled"/>
  </r>
  <r>
    <n v="10532"/>
    <x v="192"/>
    <s v="C1027"/>
    <s v="Anjali"/>
    <x v="3"/>
    <x v="4"/>
    <x v="4"/>
    <x v="0"/>
    <x v="4"/>
    <x v="4"/>
    <x v="2"/>
    <n v="799"/>
    <m/>
    <x v="2"/>
    <s v="Returned"/>
  </r>
  <r>
    <n v="10533"/>
    <x v="76"/>
    <s v="C1176"/>
    <s v="Vikram"/>
    <x v="3"/>
    <x v="4"/>
    <x v="4"/>
    <x v="2"/>
    <x v="3"/>
    <x v="3"/>
    <x v="4"/>
    <n v="799"/>
    <s v="Cash on Delivery"/>
    <x v="1"/>
    <s v="Cancelled"/>
  </r>
  <r>
    <n v="10534"/>
    <x v="46"/>
    <s v="C1043"/>
    <s v="Anjali"/>
    <x v="2"/>
    <x v="2"/>
    <x v="2"/>
    <x v="0"/>
    <x v="0"/>
    <x v="0"/>
    <x v="3"/>
    <n v="299"/>
    <s v="Net Banking"/>
    <x v="0"/>
    <s v="Returned"/>
  </r>
  <r>
    <n v="10535"/>
    <x v="102"/>
    <s v="C1052"/>
    <s v="Karan"/>
    <x v="1"/>
    <x v="1"/>
    <x v="1"/>
    <x v="1"/>
    <x v="1"/>
    <x v="1"/>
    <x v="1"/>
    <n v="299"/>
    <m/>
    <x v="2"/>
    <s v="Shipped"/>
  </r>
  <r>
    <n v="10536"/>
    <x v="153"/>
    <s v="C1027"/>
    <s v="Rahul"/>
    <x v="5"/>
    <x v="5"/>
    <x v="5"/>
    <x v="3"/>
    <x v="6"/>
    <x v="6"/>
    <x v="0"/>
    <n v="499"/>
    <s v="Cash on Delivery"/>
    <x v="1"/>
    <s v="Shipped"/>
  </r>
  <r>
    <n v="10537"/>
    <x v="120"/>
    <s v="C1003"/>
    <s v="Rahul"/>
    <x v="3"/>
    <x v="4"/>
    <x v="4"/>
    <x v="3"/>
    <x v="3"/>
    <x v="3"/>
    <x v="3"/>
    <n v="1299"/>
    <m/>
    <x v="2"/>
    <s v="Delivered"/>
  </r>
  <r>
    <n v="10538"/>
    <x v="98"/>
    <s v="C1175"/>
    <s v="Sneha"/>
    <x v="0"/>
    <x v="0"/>
    <x v="0"/>
    <x v="1"/>
    <x v="2"/>
    <x v="2"/>
    <x v="3"/>
    <n v="1999"/>
    <s v="Card"/>
    <x v="3"/>
    <s v="Returned"/>
  </r>
  <r>
    <n v="10539"/>
    <x v="49"/>
    <s v="C1009"/>
    <s v="Karan"/>
    <x v="1"/>
    <x v="1"/>
    <x v="1"/>
    <x v="0"/>
    <x v="0"/>
    <x v="0"/>
    <x v="3"/>
    <n v="799"/>
    <s v="Card"/>
    <x v="3"/>
    <s v="Returned"/>
  </r>
  <r>
    <n v="10540"/>
    <x v="72"/>
    <s v="C1128"/>
    <s v="Anjali"/>
    <x v="2"/>
    <x v="2"/>
    <x v="2"/>
    <x v="0"/>
    <x v="4"/>
    <x v="4"/>
    <x v="0"/>
    <n v="1999"/>
    <m/>
    <x v="2"/>
    <s v="Delivered"/>
  </r>
  <r>
    <n v="10541"/>
    <x v="147"/>
    <s v="C1006"/>
    <s v="Anjali"/>
    <x v="7"/>
    <x v="2"/>
    <x v="2"/>
    <x v="2"/>
    <x v="6"/>
    <x v="6"/>
    <x v="1"/>
    <n v="499"/>
    <m/>
    <x v="2"/>
    <s v="Shipped"/>
  </r>
  <r>
    <n v="10542"/>
    <x v="90"/>
    <s v="C1019"/>
    <s v="Rahul"/>
    <x v="5"/>
    <x v="5"/>
    <x v="5"/>
    <x v="3"/>
    <x v="6"/>
    <x v="6"/>
    <x v="0"/>
    <n v="799"/>
    <s v="Net Banking"/>
    <x v="0"/>
    <s v="Delivered"/>
  </r>
  <r>
    <n v="10543"/>
    <x v="17"/>
    <s v="C1101"/>
    <s v="Neha"/>
    <x v="5"/>
    <x v="5"/>
    <x v="5"/>
    <x v="3"/>
    <x v="6"/>
    <x v="6"/>
    <x v="4"/>
    <n v="1299"/>
    <m/>
    <x v="2"/>
    <s v="Returned"/>
  </r>
  <r>
    <n v="10544"/>
    <x v="154"/>
    <s v="C1141"/>
    <s v="Priya"/>
    <x v="6"/>
    <x v="2"/>
    <x v="2"/>
    <x v="0"/>
    <x v="4"/>
    <x v="4"/>
    <x v="4"/>
    <n v="499"/>
    <m/>
    <x v="2"/>
    <s v="Delivered"/>
  </r>
  <r>
    <n v="10545"/>
    <x v="123"/>
    <s v="C1189"/>
    <s v="Vikram"/>
    <x v="5"/>
    <x v="5"/>
    <x v="5"/>
    <x v="2"/>
    <x v="6"/>
    <x v="6"/>
    <x v="2"/>
    <n v="299"/>
    <m/>
    <x v="2"/>
    <s v="Delivered"/>
  </r>
  <r>
    <n v="10546"/>
    <x v="30"/>
    <s v="C1179"/>
    <s v="Amit"/>
    <x v="7"/>
    <x v="4"/>
    <x v="4"/>
    <x v="0"/>
    <x v="0"/>
    <x v="0"/>
    <x v="3"/>
    <n v="499"/>
    <s v="Card"/>
    <x v="3"/>
    <s v="Returned"/>
  </r>
  <r>
    <n v="10547"/>
    <x v="40"/>
    <s v="C1181"/>
    <s v="Priya"/>
    <x v="1"/>
    <x v="1"/>
    <x v="1"/>
    <x v="2"/>
    <x v="6"/>
    <x v="6"/>
    <x v="1"/>
    <n v="299"/>
    <m/>
    <x v="2"/>
    <s v="Shipped"/>
  </r>
  <r>
    <n v="10548"/>
    <x v="54"/>
    <s v="C1153"/>
    <s v="Karan"/>
    <x v="5"/>
    <x v="5"/>
    <x v="5"/>
    <x v="2"/>
    <x v="7"/>
    <x v="7"/>
    <x v="3"/>
    <n v="299"/>
    <m/>
    <x v="2"/>
    <s v="Returned"/>
  </r>
  <r>
    <n v="10549"/>
    <x v="96"/>
    <s v="C1129"/>
    <s v="Karan"/>
    <x v="7"/>
    <x v="2"/>
    <x v="2"/>
    <x v="0"/>
    <x v="4"/>
    <x v="4"/>
    <x v="3"/>
    <n v="1299"/>
    <s v="Net Banking"/>
    <x v="0"/>
    <s v="Returned"/>
  </r>
  <r>
    <n v="10550"/>
    <x v="169"/>
    <s v="C1094"/>
    <s v="Priya"/>
    <x v="3"/>
    <x v="4"/>
    <x v="4"/>
    <x v="1"/>
    <x v="1"/>
    <x v="1"/>
    <x v="4"/>
    <n v="799"/>
    <m/>
    <x v="2"/>
    <s v="Delivered"/>
  </r>
  <r>
    <n v="10551"/>
    <x v="5"/>
    <s v="C1057"/>
    <s v="Vikram"/>
    <x v="1"/>
    <x v="1"/>
    <x v="1"/>
    <x v="2"/>
    <x v="3"/>
    <x v="3"/>
    <x v="4"/>
    <n v="1299"/>
    <m/>
    <x v="2"/>
    <s v="Cancelled"/>
  </r>
  <r>
    <n v="10552"/>
    <x v="110"/>
    <s v="C1145"/>
    <s v="Amit"/>
    <x v="1"/>
    <x v="1"/>
    <x v="1"/>
    <x v="1"/>
    <x v="2"/>
    <x v="2"/>
    <x v="4"/>
    <n v="799"/>
    <s v="Net Banking"/>
    <x v="0"/>
    <s v="Delivered"/>
  </r>
  <r>
    <n v="10553"/>
    <x v="70"/>
    <s v="C1028"/>
    <s v="Karan"/>
    <x v="0"/>
    <x v="0"/>
    <x v="0"/>
    <x v="2"/>
    <x v="3"/>
    <x v="3"/>
    <x v="0"/>
    <n v="499"/>
    <s v="Net Banking"/>
    <x v="0"/>
    <s v="Returned"/>
  </r>
  <r>
    <n v="10554"/>
    <x v="193"/>
    <s v="C1070"/>
    <s v="Anjali"/>
    <x v="3"/>
    <x v="2"/>
    <x v="2"/>
    <x v="1"/>
    <x v="1"/>
    <x v="1"/>
    <x v="3"/>
    <n v="799"/>
    <s v="Net Banking"/>
    <x v="0"/>
    <s v="Returned"/>
  </r>
  <r>
    <n v="10555"/>
    <x v="148"/>
    <s v="C1128"/>
    <s v="Neha"/>
    <x v="0"/>
    <x v="0"/>
    <x v="0"/>
    <x v="1"/>
    <x v="1"/>
    <x v="1"/>
    <x v="3"/>
    <n v="499"/>
    <m/>
    <x v="2"/>
    <s v="Delivered"/>
  </r>
  <r>
    <n v="10556"/>
    <x v="111"/>
    <s v="C1007"/>
    <s v="Priya"/>
    <x v="5"/>
    <x v="5"/>
    <x v="5"/>
    <x v="0"/>
    <x v="4"/>
    <x v="4"/>
    <x v="4"/>
    <n v="299"/>
    <m/>
    <x v="2"/>
    <s v="Cancelled"/>
  </r>
  <r>
    <n v="10557"/>
    <x v="27"/>
    <s v="C1131"/>
    <s v="Rahul"/>
    <x v="5"/>
    <x v="5"/>
    <x v="5"/>
    <x v="1"/>
    <x v="1"/>
    <x v="1"/>
    <x v="4"/>
    <n v="999999"/>
    <m/>
    <x v="2"/>
    <s v="Cancelled"/>
  </r>
  <r>
    <n v="10558"/>
    <x v="70"/>
    <s v="C1018"/>
    <s v="Priya"/>
    <x v="0"/>
    <x v="0"/>
    <x v="0"/>
    <x v="3"/>
    <x v="5"/>
    <x v="5"/>
    <x v="3"/>
    <n v="1299"/>
    <s v="Net Banking"/>
    <x v="0"/>
    <s v="Shipped"/>
  </r>
  <r>
    <n v="10559"/>
    <x v="125"/>
    <s v="C1018"/>
    <s v="Anjali"/>
    <x v="3"/>
    <x v="2"/>
    <x v="2"/>
    <x v="0"/>
    <x v="4"/>
    <x v="4"/>
    <x v="2"/>
    <n v="1999"/>
    <s v="Card"/>
    <x v="3"/>
    <s v="Returned"/>
  </r>
  <r>
    <n v="10560"/>
    <x v="21"/>
    <s v="C1150"/>
    <s v="Priya"/>
    <x v="1"/>
    <x v="3"/>
    <x v="3"/>
    <x v="1"/>
    <x v="1"/>
    <x v="1"/>
    <x v="4"/>
    <n v="499"/>
    <s v="Net Banking"/>
    <x v="0"/>
    <s v="Delivered"/>
  </r>
  <r>
    <n v="10561"/>
    <x v="15"/>
    <s v="C1156"/>
    <s v="Rahul"/>
    <x v="0"/>
    <x v="0"/>
    <x v="0"/>
    <x v="2"/>
    <x v="7"/>
    <x v="7"/>
    <x v="4"/>
    <n v="799"/>
    <m/>
    <x v="2"/>
    <s v="Returned"/>
  </r>
  <r>
    <n v="10562"/>
    <x v="194"/>
    <s v="C1151"/>
    <s v="Neha"/>
    <x v="0"/>
    <x v="0"/>
    <x v="0"/>
    <x v="1"/>
    <x v="1"/>
    <x v="1"/>
    <x v="1"/>
    <n v="499"/>
    <m/>
    <x v="2"/>
    <s v="Cancelled"/>
  </r>
  <r>
    <n v="10563"/>
    <x v="82"/>
    <s v="C1188"/>
    <s v="Priya"/>
    <x v="0"/>
    <x v="0"/>
    <x v="0"/>
    <x v="1"/>
    <x v="2"/>
    <x v="2"/>
    <x v="2"/>
    <n v="499"/>
    <s v="Net Banking"/>
    <x v="0"/>
    <s v="Returned"/>
  </r>
  <r>
    <n v="10564"/>
    <x v="180"/>
    <s v="C1160"/>
    <s v="Amit"/>
    <x v="5"/>
    <x v="5"/>
    <x v="5"/>
    <x v="2"/>
    <x v="6"/>
    <x v="6"/>
    <x v="2"/>
    <n v="799"/>
    <s v="Net Banking"/>
    <x v="0"/>
    <s v="Shipped"/>
  </r>
  <r>
    <n v="10565"/>
    <x v="7"/>
    <s v="C1103"/>
    <s v="Rahul"/>
    <x v="0"/>
    <x v="3"/>
    <x v="3"/>
    <x v="0"/>
    <x v="4"/>
    <x v="4"/>
    <x v="7"/>
    <n v="799"/>
    <m/>
    <x v="2"/>
    <s v="Cancelled"/>
  </r>
  <r>
    <n v="10566"/>
    <x v="12"/>
    <s v="C1028"/>
    <s v="Anjali"/>
    <x v="3"/>
    <x v="2"/>
    <x v="2"/>
    <x v="2"/>
    <x v="3"/>
    <x v="3"/>
    <x v="1"/>
    <n v="1299"/>
    <s v="Card"/>
    <x v="3"/>
    <s v="Delivered"/>
  </r>
  <r>
    <n v="10567"/>
    <x v="59"/>
    <s v="C1104"/>
    <s v="Sneha"/>
    <x v="0"/>
    <x v="0"/>
    <x v="0"/>
    <x v="0"/>
    <x v="4"/>
    <x v="4"/>
    <x v="3"/>
    <n v="1999"/>
    <m/>
    <x v="2"/>
    <s v="Delivered"/>
  </r>
  <r>
    <n v="10568"/>
    <x v="81"/>
    <s v="C1109"/>
    <s v="Sneha"/>
    <x v="3"/>
    <x v="2"/>
    <x v="2"/>
    <x v="1"/>
    <x v="2"/>
    <x v="2"/>
    <x v="1"/>
    <n v="1299"/>
    <s v="Card"/>
    <x v="3"/>
    <s v="Shipped"/>
  </r>
  <r>
    <n v="10569"/>
    <x v="63"/>
    <s v="C1139"/>
    <s v="Karan"/>
    <x v="3"/>
    <x v="4"/>
    <x v="4"/>
    <x v="1"/>
    <x v="2"/>
    <x v="2"/>
    <x v="4"/>
    <n v="299"/>
    <s v="Card"/>
    <x v="3"/>
    <s v="Shipped"/>
  </r>
  <r>
    <n v="10570"/>
    <x v="1"/>
    <s v="C1019"/>
    <s v="Rahul"/>
    <x v="0"/>
    <x v="0"/>
    <x v="0"/>
    <x v="0"/>
    <x v="0"/>
    <x v="0"/>
    <x v="4"/>
    <n v="1299"/>
    <s v="Card"/>
    <x v="3"/>
    <s v="Cancelled"/>
  </r>
  <r>
    <n v="10571"/>
    <x v="151"/>
    <s v="C1095"/>
    <s v="Sneha"/>
    <x v="0"/>
    <x v="0"/>
    <x v="0"/>
    <x v="2"/>
    <x v="6"/>
    <x v="6"/>
    <x v="4"/>
    <n v="499"/>
    <s v="Net Banking"/>
    <x v="0"/>
    <s v="Returned"/>
  </r>
  <r>
    <n v="10572"/>
    <x v="48"/>
    <s v="C1145"/>
    <s v="Sneha"/>
    <x v="2"/>
    <x v="2"/>
    <x v="2"/>
    <x v="0"/>
    <x v="0"/>
    <x v="0"/>
    <x v="4"/>
    <n v="1299"/>
    <m/>
    <x v="2"/>
    <s v="Delivered"/>
  </r>
  <r>
    <n v="10573"/>
    <x v="28"/>
    <s v="C1038"/>
    <s v="Sneha"/>
    <x v="2"/>
    <x v="2"/>
    <x v="2"/>
    <x v="1"/>
    <x v="2"/>
    <x v="2"/>
    <x v="4"/>
    <n v="299"/>
    <m/>
    <x v="2"/>
    <s v="Cancelled"/>
  </r>
  <r>
    <n v="10574"/>
    <x v="105"/>
    <s v="C1113"/>
    <s v="Anjali"/>
    <x v="6"/>
    <x v="2"/>
    <x v="2"/>
    <x v="1"/>
    <x v="1"/>
    <x v="1"/>
    <x v="3"/>
    <n v="299"/>
    <s v="Net Banking"/>
    <x v="0"/>
    <s v="Cancelled"/>
  </r>
  <r>
    <n v="10575"/>
    <x v="84"/>
    <s v="C1029"/>
    <s v="Sneha"/>
    <x v="1"/>
    <x v="1"/>
    <x v="1"/>
    <x v="1"/>
    <x v="2"/>
    <x v="2"/>
    <x v="1"/>
    <n v="299"/>
    <m/>
    <x v="2"/>
    <s v="Delivered"/>
  </r>
  <r>
    <n v="10576"/>
    <x v="81"/>
    <s v="C1066"/>
    <s v="Vikram"/>
    <x v="3"/>
    <x v="4"/>
    <x v="4"/>
    <x v="1"/>
    <x v="1"/>
    <x v="1"/>
    <x v="3"/>
    <n v="499"/>
    <s v="Cash on Delivery"/>
    <x v="1"/>
    <s v="Returned"/>
  </r>
  <r>
    <n v="10577"/>
    <x v="194"/>
    <s v="C1116"/>
    <s v="Sneha"/>
    <x v="0"/>
    <x v="0"/>
    <x v="0"/>
    <x v="0"/>
    <x v="4"/>
    <x v="4"/>
    <x v="0"/>
    <n v="1999"/>
    <s v="Cash on Delivery"/>
    <x v="1"/>
    <s v="Cancelled"/>
  </r>
  <r>
    <n v="10578"/>
    <x v="195"/>
    <s v="C1026"/>
    <s v="Anjali"/>
    <x v="6"/>
    <x v="2"/>
    <x v="2"/>
    <x v="1"/>
    <x v="1"/>
    <x v="1"/>
    <x v="4"/>
    <n v="1299"/>
    <s v="Card"/>
    <x v="3"/>
    <s v="Cancelled"/>
  </r>
  <r>
    <n v="10579"/>
    <x v="24"/>
    <s v="C1083"/>
    <s v="Neha"/>
    <x v="3"/>
    <x v="2"/>
    <x v="2"/>
    <x v="1"/>
    <x v="2"/>
    <x v="2"/>
    <x v="4"/>
    <n v="1999"/>
    <s v="Net Banking"/>
    <x v="0"/>
    <s v="Shipped"/>
  </r>
  <r>
    <n v="10580"/>
    <x v="57"/>
    <s v="C1111"/>
    <s v="Priya"/>
    <x v="0"/>
    <x v="0"/>
    <x v="0"/>
    <x v="0"/>
    <x v="4"/>
    <x v="4"/>
    <x v="1"/>
    <n v="1299"/>
    <m/>
    <x v="2"/>
    <s v="Delivered"/>
  </r>
  <r>
    <n v="10581"/>
    <x v="41"/>
    <s v="C1119"/>
    <s v="Anjali"/>
    <x v="0"/>
    <x v="0"/>
    <x v="0"/>
    <x v="0"/>
    <x v="0"/>
    <x v="0"/>
    <x v="2"/>
    <n v="1299"/>
    <m/>
    <x v="2"/>
    <s v="Shipped"/>
  </r>
  <r>
    <n v="10582"/>
    <x v="135"/>
    <s v="C1076"/>
    <s v="Amit"/>
    <x v="0"/>
    <x v="0"/>
    <x v="0"/>
    <x v="2"/>
    <x v="3"/>
    <x v="3"/>
    <x v="1"/>
    <n v="799"/>
    <s v="Net Banking"/>
    <x v="0"/>
    <s v="Delivered"/>
  </r>
  <r>
    <n v="10583"/>
    <x v="33"/>
    <s v="C1008"/>
    <s v="Vikram"/>
    <x v="5"/>
    <x v="5"/>
    <x v="5"/>
    <x v="1"/>
    <x v="2"/>
    <x v="2"/>
    <x v="3"/>
    <n v="499"/>
    <m/>
    <x v="2"/>
    <s v="Shipped"/>
  </r>
  <r>
    <n v="10584"/>
    <x v="177"/>
    <s v="C1036"/>
    <s v="Anjali"/>
    <x v="0"/>
    <x v="0"/>
    <x v="0"/>
    <x v="1"/>
    <x v="1"/>
    <x v="1"/>
    <x v="1"/>
    <n v="499"/>
    <s v="Card"/>
    <x v="3"/>
    <s v="Returned"/>
  </r>
  <r>
    <n v="10585"/>
    <x v="181"/>
    <s v="C1066"/>
    <s v="Anjali"/>
    <x v="5"/>
    <x v="5"/>
    <x v="5"/>
    <x v="1"/>
    <x v="1"/>
    <x v="1"/>
    <x v="0"/>
    <n v="799"/>
    <m/>
    <x v="2"/>
    <s v="Returned"/>
  </r>
  <r>
    <n v="10586"/>
    <x v="31"/>
    <s v="C1188"/>
    <s v="Rahul"/>
    <x v="2"/>
    <x v="4"/>
    <x v="4"/>
    <x v="1"/>
    <x v="2"/>
    <x v="2"/>
    <x v="1"/>
    <n v="499"/>
    <m/>
    <x v="2"/>
    <s v="Shipped"/>
  </r>
  <r>
    <n v="10587"/>
    <x v="146"/>
    <s v="C1077"/>
    <s v="Rahul"/>
    <x v="0"/>
    <x v="0"/>
    <x v="0"/>
    <x v="2"/>
    <x v="6"/>
    <x v="6"/>
    <x v="3"/>
    <n v="799"/>
    <s v="Net Banking"/>
    <x v="0"/>
    <s v="Returned"/>
  </r>
  <r>
    <n v="10588"/>
    <x v="181"/>
    <s v="C1060"/>
    <s v="Karan"/>
    <x v="5"/>
    <x v="5"/>
    <x v="5"/>
    <x v="2"/>
    <x v="3"/>
    <x v="3"/>
    <x v="0"/>
    <n v="1999"/>
    <s v="Cash on Delivery"/>
    <x v="1"/>
    <s v="Shipped"/>
  </r>
  <r>
    <n v="10589"/>
    <x v="86"/>
    <s v="C1166"/>
    <s v="Neha"/>
    <x v="5"/>
    <x v="5"/>
    <x v="5"/>
    <x v="1"/>
    <x v="1"/>
    <x v="1"/>
    <x v="0"/>
    <n v="799"/>
    <m/>
    <x v="2"/>
    <s v="Shipped"/>
  </r>
  <r>
    <n v="10590"/>
    <x v="196"/>
    <s v="C1189"/>
    <s v="Priya"/>
    <x v="6"/>
    <x v="4"/>
    <x v="4"/>
    <x v="0"/>
    <x v="4"/>
    <x v="4"/>
    <x v="1"/>
    <n v="799"/>
    <m/>
    <x v="2"/>
    <s v="Cancelled"/>
  </r>
  <r>
    <n v="10591"/>
    <x v="4"/>
    <s v="C1159"/>
    <s v="Sneha"/>
    <x v="0"/>
    <x v="0"/>
    <x v="0"/>
    <x v="0"/>
    <x v="4"/>
    <x v="4"/>
    <x v="0"/>
    <n v="1999"/>
    <s v="Card"/>
    <x v="3"/>
    <s v="Delivered"/>
  </r>
  <r>
    <n v="10592"/>
    <x v="49"/>
    <s v="C1073"/>
    <s v="Neha"/>
    <x v="7"/>
    <x v="2"/>
    <x v="2"/>
    <x v="3"/>
    <x v="7"/>
    <x v="7"/>
    <x v="4"/>
    <n v="799"/>
    <s v="Card"/>
    <x v="3"/>
    <s v="Cancelled"/>
  </r>
  <r>
    <n v="10593"/>
    <x v="146"/>
    <s v="C1172"/>
    <s v="Anjali"/>
    <x v="5"/>
    <x v="5"/>
    <x v="5"/>
    <x v="0"/>
    <x v="0"/>
    <x v="0"/>
    <x v="3"/>
    <n v="799"/>
    <m/>
    <x v="2"/>
    <s v="Returned"/>
  </r>
  <r>
    <n v="10594"/>
    <x v="142"/>
    <s v="C1081"/>
    <s v="Anjali"/>
    <x v="0"/>
    <x v="0"/>
    <x v="0"/>
    <x v="0"/>
    <x v="4"/>
    <x v="4"/>
    <x v="1"/>
    <n v="299"/>
    <m/>
    <x v="2"/>
    <s v="Delivered"/>
  </r>
  <r>
    <n v="10595"/>
    <x v="103"/>
    <s v="C1187"/>
    <s v="Amit"/>
    <x v="5"/>
    <x v="5"/>
    <x v="5"/>
    <x v="0"/>
    <x v="4"/>
    <x v="4"/>
    <x v="2"/>
    <n v="1299"/>
    <s v="Cash on Delivery"/>
    <x v="1"/>
    <s v="Returned"/>
  </r>
  <r>
    <n v="10596"/>
    <x v="90"/>
    <s v="C1055"/>
    <s v="Neha"/>
    <x v="0"/>
    <x v="0"/>
    <x v="0"/>
    <x v="0"/>
    <x v="0"/>
    <x v="0"/>
    <x v="4"/>
    <n v="299"/>
    <s v="Net Banking"/>
    <x v="0"/>
    <s v="Cancelled"/>
  </r>
  <r>
    <n v="10597"/>
    <x v="152"/>
    <s v="C1047"/>
    <s v="Rahul"/>
    <x v="3"/>
    <x v="2"/>
    <x v="2"/>
    <x v="0"/>
    <x v="0"/>
    <x v="0"/>
    <x v="4"/>
    <n v="1999"/>
    <s v="Net Banking"/>
    <x v="0"/>
    <s v="Delivered"/>
  </r>
  <r>
    <n v="10598"/>
    <x v="197"/>
    <s v="C1088"/>
    <s v="Anjali"/>
    <x v="5"/>
    <x v="5"/>
    <x v="5"/>
    <x v="3"/>
    <x v="3"/>
    <x v="3"/>
    <x v="0"/>
    <n v="1299"/>
    <s v="Card"/>
    <x v="3"/>
    <s v="Cancelled"/>
  </r>
  <r>
    <n v="10599"/>
    <x v="189"/>
    <s v="C1048"/>
    <s v="Vikram"/>
    <x v="4"/>
    <x v="1"/>
    <x v="1"/>
    <x v="1"/>
    <x v="1"/>
    <x v="1"/>
    <x v="3"/>
    <n v="1299"/>
    <m/>
    <x v="2"/>
    <s v="Returned"/>
  </r>
  <r>
    <n v="10600"/>
    <x v="185"/>
    <s v="C1156"/>
    <s v="Neha"/>
    <x v="1"/>
    <x v="1"/>
    <x v="1"/>
    <x v="1"/>
    <x v="2"/>
    <x v="2"/>
    <x v="3"/>
    <n v="1999"/>
    <m/>
    <x v="2"/>
    <s v="Cancelled"/>
  </r>
  <r>
    <n v="10601"/>
    <x v="75"/>
    <s v="C1060"/>
    <s v="Anjali"/>
    <x v="1"/>
    <x v="1"/>
    <x v="1"/>
    <x v="1"/>
    <x v="2"/>
    <x v="2"/>
    <x v="2"/>
    <n v="1999"/>
    <m/>
    <x v="2"/>
    <s v="Shipped"/>
  </r>
  <r>
    <n v="10602"/>
    <x v="139"/>
    <s v="C1128"/>
    <s v="Amit"/>
    <x v="0"/>
    <x v="0"/>
    <x v="0"/>
    <x v="1"/>
    <x v="2"/>
    <x v="2"/>
    <x v="4"/>
    <n v="499"/>
    <s v="Card"/>
    <x v="3"/>
    <s v="Delivered"/>
  </r>
  <r>
    <n v="10603"/>
    <x v="94"/>
    <s v="C1058"/>
    <s v="Rahul"/>
    <x v="4"/>
    <x v="1"/>
    <x v="1"/>
    <x v="0"/>
    <x v="0"/>
    <x v="0"/>
    <x v="0"/>
    <n v="1299"/>
    <s v="Net Banking"/>
    <x v="0"/>
    <s v="Returned"/>
  </r>
  <r>
    <n v="10604"/>
    <x v="28"/>
    <s v="C1101"/>
    <s v="Priya"/>
    <x v="5"/>
    <x v="5"/>
    <x v="5"/>
    <x v="1"/>
    <x v="2"/>
    <x v="2"/>
    <x v="3"/>
    <n v="1999"/>
    <m/>
    <x v="2"/>
    <s v="Returned"/>
  </r>
  <r>
    <n v="10605"/>
    <x v="99"/>
    <s v="C1001"/>
    <s v="Priya"/>
    <x v="1"/>
    <x v="1"/>
    <x v="1"/>
    <x v="0"/>
    <x v="5"/>
    <x v="5"/>
    <x v="4"/>
    <n v="1299"/>
    <s v="Card"/>
    <x v="3"/>
    <s v="Delivered"/>
  </r>
  <r>
    <n v="10606"/>
    <x v="3"/>
    <s v="C1113"/>
    <s v="Priya"/>
    <x v="6"/>
    <x v="4"/>
    <x v="4"/>
    <x v="2"/>
    <x v="6"/>
    <x v="6"/>
    <x v="0"/>
    <n v="1299"/>
    <m/>
    <x v="2"/>
    <s v="Returned"/>
  </r>
  <r>
    <n v="10607"/>
    <x v="15"/>
    <s v="C1037"/>
    <s v="Anjali"/>
    <x v="4"/>
    <x v="1"/>
    <x v="1"/>
    <x v="1"/>
    <x v="2"/>
    <x v="2"/>
    <x v="4"/>
    <n v="299"/>
    <s v="Cash on Delivery"/>
    <x v="1"/>
    <s v="Shipped"/>
  </r>
  <r>
    <n v="10608"/>
    <x v="31"/>
    <s v="C1074"/>
    <s v="Priya"/>
    <x v="6"/>
    <x v="2"/>
    <x v="2"/>
    <x v="1"/>
    <x v="1"/>
    <x v="1"/>
    <x v="2"/>
    <n v="1999"/>
    <m/>
    <x v="2"/>
    <s v="Returned"/>
  </r>
  <r>
    <n v="10609"/>
    <x v="100"/>
    <s v="C1043"/>
    <s v="Vikram"/>
    <x v="4"/>
    <x v="1"/>
    <x v="1"/>
    <x v="3"/>
    <x v="6"/>
    <x v="6"/>
    <x v="4"/>
    <n v="1999"/>
    <m/>
    <x v="2"/>
    <s v="Shipped"/>
  </r>
  <r>
    <n v="10610"/>
    <x v="84"/>
    <s v="C1077"/>
    <s v="Sneha"/>
    <x v="3"/>
    <x v="4"/>
    <x v="4"/>
    <x v="0"/>
    <x v="0"/>
    <x v="0"/>
    <x v="1"/>
    <n v="799"/>
    <s v="Cash on Delivery"/>
    <x v="1"/>
    <s v="Returned"/>
  </r>
  <r>
    <n v="10611"/>
    <x v="101"/>
    <s v="C1142"/>
    <s v="Amit"/>
    <x v="3"/>
    <x v="2"/>
    <x v="2"/>
    <x v="0"/>
    <x v="4"/>
    <x v="4"/>
    <x v="2"/>
    <n v="1999"/>
    <m/>
    <x v="2"/>
    <s v="Returned"/>
  </r>
  <r>
    <n v="10612"/>
    <x v="55"/>
    <s v="C1173"/>
    <s v="Rahul"/>
    <x v="7"/>
    <x v="2"/>
    <x v="2"/>
    <x v="0"/>
    <x v="0"/>
    <x v="0"/>
    <x v="1"/>
    <n v="1299"/>
    <m/>
    <x v="2"/>
    <s v="Shipped"/>
  </r>
  <r>
    <n v="10613"/>
    <x v="198"/>
    <s v="C1118"/>
    <s v="Neha"/>
    <x v="3"/>
    <x v="2"/>
    <x v="2"/>
    <x v="1"/>
    <x v="2"/>
    <x v="2"/>
    <x v="3"/>
    <n v="299"/>
    <s v="Cash on Delivery"/>
    <x v="1"/>
    <s v="Shipped"/>
  </r>
  <r>
    <n v="10614"/>
    <x v="113"/>
    <s v="C1022"/>
    <s v="Anjali"/>
    <x v="2"/>
    <x v="2"/>
    <x v="2"/>
    <x v="1"/>
    <x v="2"/>
    <x v="2"/>
    <x v="3"/>
    <n v="799"/>
    <m/>
    <x v="2"/>
    <s v="Shipped"/>
  </r>
  <r>
    <n v="10615"/>
    <x v="3"/>
    <s v="C1150"/>
    <s v="Amit"/>
    <x v="7"/>
    <x v="4"/>
    <x v="4"/>
    <x v="1"/>
    <x v="1"/>
    <x v="1"/>
    <x v="4"/>
    <n v="299"/>
    <s v="Cash on Delivery"/>
    <x v="1"/>
    <s v="Shipped"/>
  </r>
  <r>
    <n v="10616"/>
    <x v="108"/>
    <s v="C1149"/>
    <s v="Amit"/>
    <x v="5"/>
    <x v="5"/>
    <x v="5"/>
    <x v="0"/>
    <x v="0"/>
    <x v="0"/>
    <x v="1"/>
    <n v="499"/>
    <s v="Net Banking"/>
    <x v="0"/>
    <s v="Cancelled"/>
  </r>
  <r>
    <n v="10617"/>
    <x v="109"/>
    <s v="C1061"/>
    <s v="Anjali"/>
    <x v="0"/>
    <x v="0"/>
    <x v="0"/>
    <x v="2"/>
    <x v="6"/>
    <x v="6"/>
    <x v="1"/>
    <n v="799"/>
    <s v="Card"/>
    <x v="3"/>
    <s v="Shipped"/>
  </r>
  <r>
    <n v="10618"/>
    <x v="44"/>
    <s v="C1016"/>
    <s v="Sneha"/>
    <x v="5"/>
    <x v="5"/>
    <x v="5"/>
    <x v="0"/>
    <x v="4"/>
    <x v="4"/>
    <x v="3"/>
    <n v="499"/>
    <s v="Cash on Delivery"/>
    <x v="1"/>
    <s v="Cancelled"/>
  </r>
  <r>
    <n v="10619"/>
    <x v="152"/>
    <s v="C1200"/>
    <s v="Amit"/>
    <x v="5"/>
    <x v="5"/>
    <x v="5"/>
    <x v="0"/>
    <x v="4"/>
    <x v="4"/>
    <x v="2"/>
    <n v="499"/>
    <s v="Net Banking"/>
    <x v="0"/>
    <s v="Cancelled"/>
  </r>
  <r>
    <n v="10620"/>
    <x v="199"/>
    <s v="C1121"/>
    <s v="Vikram"/>
    <x v="3"/>
    <x v="4"/>
    <x v="4"/>
    <x v="0"/>
    <x v="0"/>
    <x v="0"/>
    <x v="2"/>
    <n v="1299"/>
    <s v="Net Banking"/>
    <x v="0"/>
    <s v="Shipped"/>
  </r>
  <r>
    <n v="10621"/>
    <x v="48"/>
    <s v="C1132"/>
    <s v="Priya"/>
    <x v="0"/>
    <x v="3"/>
    <x v="3"/>
    <x v="0"/>
    <x v="0"/>
    <x v="0"/>
    <x v="3"/>
    <n v="999999"/>
    <s v="Card"/>
    <x v="3"/>
    <s v="Shipped"/>
  </r>
  <r>
    <n v="10622"/>
    <x v="11"/>
    <s v="C1101"/>
    <s v="Priya"/>
    <x v="2"/>
    <x v="2"/>
    <x v="2"/>
    <x v="0"/>
    <x v="4"/>
    <x v="4"/>
    <x v="4"/>
    <n v="1999"/>
    <m/>
    <x v="2"/>
    <s v="Shipped"/>
  </r>
  <r>
    <n v="10623"/>
    <x v="66"/>
    <s v="C1163"/>
    <s v="Karan"/>
    <x v="4"/>
    <x v="1"/>
    <x v="1"/>
    <x v="0"/>
    <x v="0"/>
    <x v="0"/>
    <x v="1"/>
    <n v="499"/>
    <s v="Cash on Delivery"/>
    <x v="1"/>
    <s v="Cancelled"/>
  </r>
  <r>
    <n v="10624"/>
    <x v="147"/>
    <s v="C1019"/>
    <s v="Karan"/>
    <x v="0"/>
    <x v="0"/>
    <x v="0"/>
    <x v="0"/>
    <x v="0"/>
    <x v="0"/>
    <x v="1"/>
    <n v="1299"/>
    <s v="Card"/>
    <x v="3"/>
    <s v="Cancelled"/>
  </r>
  <r>
    <n v="10625"/>
    <x v="4"/>
    <s v="C1096"/>
    <s v="Amit"/>
    <x v="1"/>
    <x v="1"/>
    <x v="1"/>
    <x v="2"/>
    <x v="3"/>
    <x v="3"/>
    <x v="3"/>
    <n v="1299"/>
    <s v="Net Banking"/>
    <x v="0"/>
    <s v="Returned"/>
  </r>
  <r>
    <n v="10626"/>
    <x v="45"/>
    <s v="C1161"/>
    <s v="Vikram"/>
    <x v="3"/>
    <x v="2"/>
    <x v="2"/>
    <x v="0"/>
    <x v="0"/>
    <x v="0"/>
    <x v="0"/>
    <n v="1299"/>
    <s v="Card"/>
    <x v="3"/>
    <s v="Returned"/>
  </r>
  <r>
    <n v="10627"/>
    <x v="150"/>
    <s v="C1010"/>
    <s v="Amit"/>
    <x v="2"/>
    <x v="3"/>
    <x v="3"/>
    <x v="1"/>
    <x v="1"/>
    <x v="1"/>
    <x v="3"/>
    <n v="799"/>
    <m/>
    <x v="2"/>
    <s v="Shipped"/>
  </r>
  <r>
    <n v="10628"/>
    <x v="162"/>
    <s v="C1055"/>
    <s v="Amit"/>
    <x v="0"/>
    <x v="0"/>
    <x v="0"/>
    <x v="0"/>
    <x v="0"/>
    <x v="0"/>
    <x v="2"/>
    <n v="1299"/>
    <s v="Card"/>
    <x v="3"/>
    <s v="Shipped"/>
  </r>
  <r>
    <n v="10629"/>
    <x v="100"/>
    <s v="C1120"/>
    <s v="Amit"/>
    <x v="7"/>
    <x v="3"/>
    <x v="3"/>
    <x v="1"/>
    <x v="1"/>
    <x v="1"/>
    <x v="3"/>
    <n v="299"/>
    <m/>
    <x v="2"/>
    <s v="Returned"/>
  </r>
  <r>
    <n v="10630"/>
    <x v="37"/>
    <s v="C1027"/>
    <s v="Priya"/>
    <x v="5"/>
    <x v="5"/>
    <x v="5"/>
    <x v="0"/>
    <x v="0"/>
    <x v="0"/>
    <x v="2"/>
    <n v="1999"/>
    <s v="Net Banking"/>
    <x v="0"/>
    <s v="Delivered"/>
  </r>
  <r>
    <n v="10631"/>
    <x v="60"/>
    <s v="C1034"/>
    <s v="Priya"/>
    <x v="1"/>
    <x v="1"/>
    <x v="1"/>
    <x v="1"/>
    <x v="2"/>
    <x v="2"/>
    <x v="3"/>
    <n v="499"/>
    <m/>
    <x v="2"/>
    <s v="Returned"/>
  </r>
  <r>
    <n v="10632"/>
    <x v="200"/>
    <s v="C1098"/>
    <s v="Neha"/>
    <x v="5"/>
    <x v="5"/>
    <x v="5"/>
    <x v="2"/>
    <x v="5"/>
    <x v="5"/>
    <x v="1"/>
    <n v="1999"/>
    <s v="Cash on Delivery"/>
    <x v="1"/>
    <s v="Returned"/>
  </r>
  <r>
    <n v="10633"/>
    <x v="8"/>
    <s v="C1122"/>
    <s v="Vikram"/>
    <x v="3"/>
    <x v="4"/>
    <x v="4"/>
    <x v="1"/>
    <x v="1"/>
    <x v="1"/>
    <x v="7"/>
    <n v="299"/>
    <m/>
    <x v="2"/>
    <s v="Delivered"/>
  </r>
  <r>
    <n v="10634"/>
    <x v="12"/>
    <s v="C1002"/>
    <s v="Anjali"/>
    <x v="1"/>
    <x v="1"/>
    <x v="1"/>
    <x v="1"/>
    <x v="1"/>
    <x v="1"/>
    <x v="0"/>
    <n v="999999"/>
    <m/>
    <x v="2"/>
    <s v="Delivered"/>
  </r>
  <r>
    <n v="10635"/>
    <x v="87"/>
    <s v="C1058"/>
    <s v="Rahul"/>
    <x v="3"/>
    <x v="2"/>
    <x v="2"/>
    <x v="0"/>
    <x v="0"/>
    <x v="0"/>
    <x v="3"/>
    <n v="1299"/>
    <s v="Cash on Delivery"/>
    <x v="1"/>
    <s v="Cancelled"/>
  </r>
  <r>
    <n v="10636"/>
    <x v="101"/>
    <s v="C1080"/>
    <s v="Karan"/>
    <x v="1"/>
    <x v="1"/>
    <x v="1"/>
    <x v="1"/>
    <x v="2"/>
    <x v="2"/>
    <x v="1"/>
    <n v="299"/>
    <s v="Cash on Delivery"/>
    <x v="1"/>
    <s v="Shipped"/>
  </r>
  <r>
    <n v="10637"/>
    <x v="123"/>
    <s v="C1082"/>
    <s v="Anjali"/>
    <x v="3"/>
    <x v="4"/>
    <x v="4"/>
    <x v="1"/>
    <x v="1"/>
    <x v="1"/>
    <x v="3"/>
    <n v="299"/>
    <m/>
    <x v="2"/>
    <s v="Delivered"/>
  </r>
  <r>
    <n v="10638"/>
    <x v="83"/>
    <s v="C1194"/>
    <s v="Neha"/>
    <x v="5"/>
    <x v="3"/>
    <x v="3"/>
    <x v="2"/>
    <x v="3"/>
    <x v="3"/>
    <x v="2"/>
    <n v="1299"/>
    <s v="Net Banking"/>
    <x v="0"/>
    <s v="Returned"/>
  </r>
  <r>
    <n v="10639"/>
    <x v="106"/>
    <s v="C1144"/>
    <s v="Neha"/>
    <x v="4"/>
    <x v="1"/>
    <x v="1"/>
    <x v="2"/>
    <x v="3"/>
    <x v="3"/>
    <x v="4"/>
    <n v="799"/>
    <s v="Card"/>
    <x v="3"/>
    <s v="Returned"/>
  </r>
  <r>
    <n v="10640"/>
    <x v="52"/>
    <s v="C1032"/>
    <s v="Rahul"/>
    <x v="4"/>
    <x v="1"/>
    <x v="1"/>
    <x v="2"/>
    <x v="3"/>
    <x v="3"/>
    <x v="0"/>
    <n v="299"/>
    <s v="Net Banking"/>
    <x v="0"/>
    <s v="Delivered"/>
  </r>
  <r>
    <n v="10641"/>
    <x v="11"/>
    <s v="C1165"/>
    <s v="Sneha"/>
    <x v="0"/>
    <x v="0"/>
    <x v="0"/>
    <x v="0"/>
    <x v="4"/>
    <x v="4"/>
    <x v="4"/>
    <n v="1299"/>
    <s v="Cash on Delivery"/>
    <x v="1"/>
    <s v="Shipped"/>
  </r>
  <r>
    <n v="10642"/>
    <x v="89"/>
    <s v="C1044"/>
    <s v="Sneha"/>
    <x v="1"/>
    <x v="1"/>
    <x v="1"/>
    <x v="1"/>
    <x v="2"/>
    <x v="2"/>
    <x v="1"/>
    <n v="1999"/>
    <s v="Card"/>
    <x v="3"/>
    <s v="Cancelled"/>
  </r>
  <r>
    <n v="10643"/>
    <x v="173"/>
    <s v="C1165"/>
    <s v="Amit"/>
    <x v="4"/>
    <x v="1"/>
    <x v="1"/>
    <x v="1"/>
    <x v="1"/>
    <x v="1"/>
    <x v="3"/>
    <n v="1999"/>
    <s v="Cash on Delivery"/>
    <x v="1"/>
    <s v="Delivered"/>
  </r>
  <r>
    <n v="10644"/>
    <x v="84"/>
    <s v="C1160"/>
    <s v="Vikram"/>
    <x v="5"/>
    <x v="5"/>
    <x v="5"/>
    <x v="0"/>
    <x v="0"/>
    <x v="0"/>
    <x v="4"/>
    <n v="1999"/>
    <m/>
    <x v="2"/>
    <s v="Shipped"/>
  </r>
  <r>
    <n v="10645"/>
    <x v="18"/>
    <s v="C1095"/>
    <s v="Amit"/>
    <x v="2"/>
    <x v="2"/>
    <x v="2"/>
    <x v="1"/>
    <x v="1"/>
    <x v="1"/>
    <x v="3"/>
    <n v="799"/>
    <s v="Cash on Delivery"/>
    <x v="1"/>
    <s v="Delivered"/>
  </r>
  <r>
    <n v="10646"/>
    <x v="201"/>
    <s v="C1114"/>
    <s v="Anjali"/>
    <x v="6"/>
    <x v="4"/>
    <x v="4"/>
    <x v="0"/>
    <x v="0"/>
    <x v="0"/>
    <x v="2"/>
    <n v="799"/>
    <m/>
    <x v="2"/>
    <s v="Returned"/>
  </r>
  <r>
    <n v="10647"/>
    <x v="24"/>
    <s v="C1001"/>
    <s v="Neha"/>
    <x v="3"/>
    <x v="4"/>
    <x v="4"/>
    <x v="0"/>
    <x v="0"/>
    <x v="0"/>
    <x v="3"/>
    <n v="799"/>
    <m/>
    <x v="2"/>
    <s v="Delivered"/>
  </r>
  <r>
    <n v="10648"/>
    <x v="202"/>
    <s v="C1165"/>
    <s v="Rahul"/>
    <x v="3"/>
    <x v="2"/>
    <x v="2"/>
    <x v="1"/>
    <x v="1"/>
    <x v="1"/>
    <x v="1"/>
    <n v="499"/>
    <s v="Net Banking"/>
    <x v="0"/>
    <s v="Delivered"/>
  </r>
  <r>
    <n v="10649"/>
    <x v="163"/>
    <s v="C1044"/>
    <s v="Neha"/>
    <x v="5"/>
    <x v="5"/>
    <x v="5"/>
    <x v="1"/>
    <x v="2"/>
    <x v="2"/>
    <x v="0"/>
    <n v="299"/>
    <m/>
    <x v="2"/>
    <s v="Cancelled"/>
  </r>
  <r>
    <n v="10650"/>
    <x v="184"/>
    <s v="C1082"/>
    <s v="Rahul"/>
    <x v="3"/>
    <x v="2"/>
    <x v="2"/>
    <x v="0"/>
    <x v="0"/>
    <x v="0"/>
    <x v="0"/>
    <n v="799"/>
    <m/>
    <x v="2"/>
    <s v="Cancelled"/>
  </r>
  <r>
    <n v="10651"/>
    <x v="55"/>
    <s v="C1139"/>
    <s v="Priya"/>
    <x v="7"/>
    <x v="2"/>
    <x v="2"/>
    <x v="0"/>
    <x v="0"/>
    <x v="0"/>
    <x v="2"/>
    <n v="799"/>
    <s v="Cash on Delivery"/>
    <x v="1"/>
    <s v="Delivered"/>
  </r>
  <r>
    <n v="10652"/>
    <x v="50"/>
    <s v="C1086"/>
    <s v="Karan"/>
    <x v="5"/>
    <x v="5"/>
    <x v="5"/>
    <x v="2"/>
    <x v="6"/>
    <x v="6"/>
    <x v="0"/>
    <n v="299"/>
    <m/>
    <x v="2"/>
    <s v="Delivered"/>
  </r>
  <r>
    <n v="10653"/>
    <x v="195"/>
    <s v="C1150"/>
    <s v="Karan"/>
    <x v="4"/>
    <x v="1"/>
    <x v="1"/>
    <x v="0"/>
    <x v="4"/>
    <x v="4"/>
    <x v="4"/>
    <n v="299"/>
    <s v="Card"/>
    <x v="3"/>
    <s v="Shipped"/>
  </r>
  <r>
    <n v="10654"/>
    <x v="150"/>
    <s v="C1095"/>
    <s v="Sneha"/>
    <x v="7"/>
    <x v="2"/>
    <x v="2"/>
    <x v="2"/>
    <x v="3"/>
    <x v="3"/>
    <x v="1"/>
    <n v="799"/>
    <m/>
    <x v="2"/>
    <s v="Returned"/>
  </r>
  <r>
    <n v="10655"/>
    <x v="181"/>
    <s v="C1200"/>
    <s v="Vikram"/>
    <x v="3"/>
    <x v="4"/>
    <x v="4"/>
    <x v="2"/>
    <x v="7"/>
    <x v="7"/>
    <x v="2"/>
    <n v="1299"/>
    <m/>
    <x v="2"/>
    <s v="Shipped"/>
  </r>
  <r>
    <n v="10656"/>
    <x v="104"/>
    <s v="C1182"/>
    <s v="Rahul"/>
    <x v="1"/>
    <x v="1"/>
    <x v="1"/>
    <x v="1"/>
    <x v="1"/>
    <x v="1"/>
    <x v="0"/>
    <n v="299"/>
    <s v="Cash on Delivery"/>
    <x v="1"/>
    <s v="Delivered"/>
  </r>
  <r>
    <n v="10657"/>
    <x v="142"/>
    <s v="C1077"/>
    <s v="Neha"/>
    <x v="6"/>
    <x v="2"/>
    <x v="2"/>
    <x v="2"/>
    <x v="7"/>
    <x v="7"/>
    <x v="4"/>
    <n v="1999"/>
    <s v="Net Banking"/>
    <x v="0"/>
    <s v="Delivered"/>
  </r>
  <r>
    <n v="10658"/>
    <x v="98"/>
    <s v="C1075"/>
    <s v="Vikram"/>
    <x v="2"/>
    <x v="4"/>
    <x v="4"/>
    <x v="0"/>
    <x v="4"/>
    <x v="4"/>
    <x v="4"/>
    <n v="499"/>
    <s v="Card"/>
    <x v="3"/>
    <s v="Returned"/>
  </r>
  <r>
    <n v="10659"/>
    <x v="5"/>
    <s v="C1154"/>
    <s v="Sneha"/>
    <x v="4"/>
    <x v="1"/>
    <x v="1"/>
    <x v="0"/>
    <x v="0"/>
    <x v="0"/>
    <x v="1"/>
    <n v="1299"/>
    <m/>
    <x v="2"/>
    <s v="Shipped"/>
  </r>
  <r>
    <n v="10660"/>
    <x v="111"/>
    <s v="C1182"/>
    <s v="Karan"/>
    <x v="0"/>
    <x v="0"/>
    <x v="0"/>
    <x v="0"/>
    <x v="0"/>
    <x v="0"/>
    <x v="1"/>
    <n v="499"/>
    <m/>
    <x v="2"/>
    <s v="Cancelled"/>
  </r>
  <r>
    <n v="10661"/>
    <x v="53"/>
    <s v="C1058"/>
    <s v="Vikram"/>
    <x v="3"/>
    <x v="4"/>
    <x v="4"/>
    <x v="1"/>
    <x v="1"/>
    <x v="1"/>
    <x v="3"/>
    <n v="799"/>
    <m/>
    <x v="2"/>
    <s v="Returned"/>
  </r>
  <r>
    <n v="10662"/>
    <x v="46"/>
    <s v="C1101"/>
    <s v="Neha"/>
    <x v="3"/>
    <x v="4"/>
    <x v="4"/>
    <x v="0"/>
    <x v="0"/>
    <x v="0"/>
    <x v="2"/>
    <n v="1299"/>
    <m/>
    <x v="2"/>
    <s v="Cancelled"/>
  </r>
  <r>
    <n v="10663"/>
    <x v="46"/>
    <s v="C1182"/>
    <s v="Sneha"/>
    <x v="1"/>
    <x v="1"/>
    <x v="1"/>
    <x v="0"/>
    <x v="0"/>
    <x v="0"/>
    <x v="2"/>
    <n v="299"/>
    <s v="Net Banking"/>
    <x v="0"/>
    <s v="Cancelled"/>
  </r>
  <r>
    <n v="10664"/>
    <x v="138"/>
    <s v="C1069"/>
    <s v="Amit"/>
    <x v="5"/>
    <x v="5"/>
    <x v="5"/>
    <x v="0"/>
    <x v="0"/>
    <x v="0"/>
    <x v="4"/>
    <n v="1999"/>
    <s v="Card"/>
    <x v="3"/>
    <s v="Shipped"/>
  </r>
  <r>
    <n v="10665"/>
    <x v="129"/>
    <s v="C1188"/>
    <s v="Neha"/>
    <x v="3"/>
    <x v="2"/>
    <x v="2"/>
    <x v="1"/>
    <x v="1"/>
    <x v="1"/>
    <x v="2"/>
    <n v="1999"/>
    <s v="Cash on Delivery"/>
    <x v="1"/>
    <s v="Shipped"/>
  </r>
  <r>
    <n v="10666"/>
    <x v="192"/>
    <s v="C1137"/>
    <s v="Vikram"/>
    <x v="3"/>
    <x v="2"/>
    <x v="2"/>
    <x v="0"/>
    <x v="5"/>
    <x v="5"/>
    <x v="0"/>
    <n v="299"/>
    <m/>
    <x v="2"/>
    <s v="Returned"/>
  </r>
  <r>
    <n v="10667"/>
    <x v="203"/>
    <s v="C1199"/>
    <s v="Anjali"/>
    <x v="7"/>
    <x v="2"/>
    <x v="2"/>
    <x v="1"/>
    <x v="1"/>
    <x v="1"/>
    <x v="0"/>
    <n v="1999"/>
    <s v="Card"/>
    <x v="3"/>
    <s v="Delivered"/>
  </r>
  <r>
    <n v="10668"/>
    <x v="74"/>
    <s v="C1148"/>
    <s v="Priya"/>
    <x v="2"/>
    <x v="2"/>
    <x v="2"/>
    <x v="2"/>
    <x v="3"/>
    <x v="3"/>
    <x v="2"/>
    <n v="499"/>
    <s v="Cash on Delivery"/>
    <x v="1"/>
    <s v="Cancelled"/>
  </r>
  <r>
    <n v="10669"/>
    <x v="197"/>
    <s v="C1175"/>
    <s v="Vikram"/>
    <x v="1"/>
    <x v="1"/>
    <x v="1"/>
    <x v="1"/>
    <x v="2"/>
    <x v="2"/>
    <x v="4"/>
    <n v="499"/>
    <m/>
    <x v="2"/>
    <s v="Returned"/>
  </r>
  <r>
    <n v="10670"/>
    <x v="29"/>
    <s v="C1177"/>
    <s v="Amit"/>
    <x v="0"/>
    <x v="0"/>
    <x v="0"/>
    <x v="2"/>
    <x v="7"/>
    <x v="7"/>
    <x v="4"/>
    <n v="299"/>
    <s v="Cash on Delivery"/>
    <x v="1"/>
    <s v="Returned"/>
  </r>
  <r>
    <n v="10671"/>
    <x v="151"/>
    <s v="C1111"/>
    <s v="Anjali"/>
    <x v="4"/>
    <x v="1"/>
    <x v="1"/>
    <x v="0"/>
    <x v="0"/>
    <x v="0"/>
    <x v="2"/>
    <n v="1999"/>
    <s v="Card"/>
    <x v="3"/>
    <s v="Delivered"/>
  </r>
  <r>
    <n v="10672"/>
    <x v="109"/>
    <s v="C1002"/>
    <s v="Neha"/>
    <x v="0"/>
    <x v="0"/>
    <x v="0"/>
    <x v="1"/>
    <x v="5"/>
    <x v="5"/>
    <x v="3"/>
    <n v="499"/>
    <s v="Card"/>
    <x v="3"/>
    <s v="Delivered"/>
  </r>
  <r>
    <n v="10673"/>
    <x v="96"/>
    <s v="C1075"/>
    <s v="Vikram"/>
    <x v="1"/>
    <x v="1"/>
    <x v="1"/>
    <x v="3"/>
    <x v="7"/>
    <x v="7"/>
    <x v="3"/>
    <n v="299"/>
    <m/>
    <x v="2"/>
    <s v="Returned"/>
  </r>
  <r>
    <n v="10674"/>
    <x v="157"/>
    <s v="C1152"/>
    <s v="Anjali"/>
    <x v="5"/>
    <x v="3"/>
    <x v="3"/>
    <x v="0"/>
    <x v="0"/>
    <x v="0"/>
    <x v="0"/>
    <n v="1299"/>
    <s v="Net Banking"/>
    <x v="0"/>
    <s v="Delivered"/>
  </r>
  <r>
    <n v="10675"/>
    <x v="120"/>
    <s v="C1108"/>
    <s v="Karan"/>
    <x v="3"/>
    <x v="2"/>
    <x v="2"/>
    <x v="3"/>
    <x v="6"/>
    <x v="6"/>
    <x v="2"/>
    <n v="799"/>
    <m/>
    <x v="2"/>
    <s v="Returned"/>
  </r>
  <r>
    <n v="10676"/>
    <x v="174"/>
    <s v="C1119"/>
    <s v="Karan"/>
    <x v="0"/>
    <x v="0"/>
    <x v="0"/>
    <x v="0"/>
    <x v="4"/>
    <x v="4"/>
    <x v="2"/>
    <n v="499"/>
    <s v="Card"/>
    <x v="3"/>
    <s v="Shipped"/>
  </r>
  <r>
    <n v="10677"/>
    <x v="66"/>
    <s v="C1109"/>
    <s v="Rahul"/>
    <x v="0"/>
    <x v="0"/>
    <x v="0"/>
    <x v="0"/>
    <x v="4"/>
    <x v="4"/>
    <x v="3"/>
    <n v="499"/>
    <s v="Cash on Delivery"/>
    <x v="1"/>
    <s v="Returned"/>
  </r>
  <r>
    <n v="10678"/>
    <x v="81"/>
    <s v="C1067"/>
    <s v="Neha"/>
    <x v="6"/>
    <x v="2"/>
    <x v="2"/>
    <x v="2"/>
    <x v="3"/>
    <x v="3"/>
    <x v="4"/>
    <n v="799"/>
    <m/>
    <x v="2"/>
    <s v="Shipped"/>
  </r>
  <r>
    <n v="10679"/>
    <x v="105"/>
    <s v="C1180"/>
    <s v="Sneha"/>
    <x v="0"/>
    <x v="0"/>
    <x v="0"/>
    <x v="1"/>
    <x v="2"/>
    <x v="2"/>
    <x v="4"/>
    <n v="1299"/>
    <s v="Cash on Delivery"/>
    <x v="1"/>
    <s v="Shipped"/>
  </r>
  <r>
    <n v="10680"/>
    <x v="21"/>
    <s v="C1146"/>
    <s v="Priya"/>
    <x v="2"/>
    <x v="2"/>
    <x v="2"/>
    <x v="0"/>
    <x v="4"/>
    <x v="4"/>
    <x v="2"/>
    <n v="799"/>
    <s v="Card"/>
    <x v="3"/>
    <s v="Returned"/>
  </r>
  <r>
    <n v="10681"/>
    <x v="139"/>
    <s v="C1141"/>
    <s v="Anjali"/>
    <x v="6"/>
    <x v="4"/>
    <x v="4"/>
    <x v="1"/>
    <x v="1"/>
    <x v="1"/>
    <x v="1"/>
    <n v="299"/>
    <s v="Cash on Delivery"/>
    <x v="1"/>
    <s v="Shipped"/>
  </r>
  <r>
    <n v="10682"/>
    <x v="177"/>
    <s v="C1020"/>
    <s v="Rahul"/>
    <x v="0"/>
    <x v="0"/>
    <x v="0"/>
    <x v="1"/>
    <x v="2"/>
    <x v="2"/>
    <x v="4"/>
    <n v="299"/>
    <m/>
    <x v="2"/>
    <s v="Delivered"/>
  </r>
  <r>
    <n v="10683"/>
    <x v="67"/>
    <s v="C1143"/>
    <s v="Anjali"/>
    <x v="1"/>
    <x v="1"/>
    <x v="1"/>
    <x v="1"/>
    <x v="2"/>
    <x v="2"/>
    <x v="3"/>
    <n v="1999"/>
    <s v="Cash on Delivery"/>
    <x v="1"/>
    <s v="Delivered"/>
  </r>
  <r>
    <n v="10684"/>
    <x v="31"/>
    <s v="C1047"/>
    <s v="Anjali"/>
    <x v="2"/>
    <x v="2"/>
    <x v="2"/>
    <x v="0"/>
    <x v="0"/>
    <x v="0"/>
    <x v="3"/>
    <n v="499"/>
    <s v="Net Banking"/>
    <x v="0"/>
    <s v="Returned"/>
  </r>
  <r>
    <n v="10685"/>
    <x v="62"/>
    <s v="C1048"/>
    <s v="Amit"/>
    <x v="4"/>
    <x v="1"/>
    <x v="1"/>
    <x v="2"/>
    <x v="7"/>
    <x v="7"/>
    <x v="3"/>
    <n v="1299"/>
    <s v="Card"/>
    <x v="3"/>
    <s v="Returned"/>
  </r>
  <r>
    <n v="10686"/>
    <x v="154"/>
    <s v="C1050"/>
    <s v="Anjali"/>
    <x v="1"/>
    <x v="1"/>
    <x v="1"/>
    <x v="0"/>
    <x v="0"/>
    <x v="0"/>
    <x v="1"/>
    <n v="299"/>
    <m/>
    <x v="2"/>
    <s v="Returned"/>
  </r>
  <r>
    <n v="10687"/>
    <x v="56"/>
    <s v="C1121"/>
    <s v="Vikram"/>
    <x v="3"/>
    <x v="4"/>
    <x v="4"/>
    <x v="2"/>
    <x v="7"/>
    <x v="7"/>
    <x v="1"/>
    <n v="1299"/>
    <m/>
    <x v="2"/>
    <s v="Returned"/>
  </r>
  <r>
    <n v="10688"/>
    <x v="136"/>
    <s v="C1190"/>
    <s v="Sneha"/>
    <x v="0"/>
    <x v="3"/>
    <x v="3"/>
    <x v="2"/>
    <x v="6"/>
    <x v="6"/>
    <x v="3"/>
    <n v="299"/>
    <s v="Net Banking"/>
    <x v="0"/>
    <s v="Returned"/>
  </r>
  <r>
    <n v="10689"/>
    <x v="150"/>
    <s v="C1143"/>
    <s v="Neha"/>
    <x v="0"/>
    <x v="0"/>
    <x v="0"/>
    <x v="1"/>
    <x v="1"/>
    <x v="1"/>
    <x v="1"/>
    <n v="299"/>
    <s v="Cash on Delivery"/>
    <x v="1"/>
    <s v="Delivered"/>
  </r>
  <r>
    <n v="10690"/>
    <x v="166"/>
    <s v="C1160"/>
    <s v="Neha"/>
    <x v="4"/>
    <x v="1"/>
    <x v="1"/>
    <x v="2"/>
    <x v="6"/>
    <x v="6"/>
    <x v="2"/>
    <n v="1999"/>
    <m/>
    <x v="2"/>
    <s v="Returned"/>
  </r>
  <r>
    <n v="10691"/>
    <x v="8"/>
    <s v="C1048"/>
    <s v="Neha"/>
    <x v="7"/>
    <x v="4"/>
    <x v="4"/>
    <x v="1"/>
    <x v="1"/>
    <x v="1"/>
    <x v="0"/>
    <n v="799"/>
    <s v="Cash on Delivery"/>
    <x v="1"/>
    <s v="Cancelled"/>
  </r>
  <r>
    <n v="10692"/>
    <x v="180"/>
    <s v="C1001"/>
    <s v="Karan"/>
    <x v="5"/>
    <x v="5"/>
    <x v="5"/>
    <x v="1"/>
    <x v="2"/>
    <x v="2"/>
    <x v="2"/>
    <n v="499"/>
    <s v="Cash on Delivery"/>
    <x v="1"/>
    <s v="Cancelled"/>
  </r>
  <r>
    <n v="10693"/>
    <x v="50"/>
    <s v="C1129"/>
    <s v="Karan"/>
    <x v="5"/>
    <x v="5"/>
    <x v="5"/>
    <x v="1"/>
    <x v="2"/>
    <x v="2"/>
    <x v="1"/>
    <n v="299"/>
    <m/>
    <x v="2"/>
    <s v="Cancelled"/>
  </r>
  <r>
    <n v="10694"/>
    <x v="1"/>
    <s v="C1107"/>
    <s v="Priya"/>
    <x v="0"/>
    <x v="3"/>
    <x v="3"/>
    <x v="0"/>
    <x v="0"/>
    <x v="0"/>
    <x v="1"/>
    <n v="999999"/>
    <s v="Net Banking"/>
    <x v="0"/>
    <s v="Returned"/>
  </r>
  <r>
    <n v="10695"/>
    <x v="56"/>
    <s v="C1095"/>
    <s v="Amit"/>
    <x v="5"/>
    <x v="5"/>
    <x v="5"/>
    <x v="1"/>
    <x v="2"/>
    <x v="2"/>
    <x v="1"/>
    <n v="1299"/>
    <s v="Card"/>
    <x v="3"/>
    <s v="Cancelled"/>
  </r>
  <r>
    <n v="10696"/>
    <x v="108"/>
    <s v="C1029"/>
    <s v="Priya"/>
    <x v="5"/>
    <x v="5"/>
    <x v="5"/>
    <x v="0"/>
    <x v="4"/>
    <x v="4"/>
    <x v="4"/>
    <n v="499"/>
    <s v="Cash on Delivery"/>
    <x v="1"/>
    <s v="Cancelled"/>
  </r>
  <r>
    <n v="10697"/>
    <x v="79"/>
    <s v="C1149"/>
    <s v="Sneha"/>
    <x v="0"/>
    <x v="0"/>
    <x v="0"/>
    <x v="0"/>
    <x v="4"/>
    <x v="4"/>
    <x v="2"/>
    <n v="1999"/>
    <s v="Cash on Delivery"/>
    <x v="1"/>
    <s v="Returned"/>
  </r>
  <r>
    <n v="10698"/>
    <x v="40"/>
    <s v="C1116"/>
    <s v="Rahul"/>
    <x v="3"/>
    <x v="2"/>
    <x v="2"/>
    <x v="2"/>
    <x v="7"/>
    <x v="7"/>
    <x v="4"/>
    <n v="499"/>
    <m/>
    <x v="2"/>
    <s v="Cancelled"/>
  </r>
  <r>
    <n v="10699"/>
    <x v="58"/>
    <s v="C1159"/>
    <s v="Amit"/>
    <x v="7"/>
    <x v="3"/>
    <x v="3"/>
    <x v="0"/>
    <x v="4"/>
    <x v="4"/>
    <x v="1"/>
    <n v="799"/>
    <m/>
    <x v="2"/>
    <s v="Returned"/>
  </r>
  <r>
    <n v="10700"/>
    <x v="177"/>
    <s v="C1113"/>
    <s v="Neha"/>
    <x v="5"/>
    <x v="5"/>
    <x v="5"/>
    <x v="1"/>
    <x v="1"/>
    <x v="1"/>
    <x v="4"/>
    <n v="1299"/>
    <s v="Cash on Delivery"/>
    <x v="1"/>
    <s v="Return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F3F7C-F9BB-462C-907E-DA026D104E1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L4:M13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3"/>
        <item x="4"/>
        <item x="7"/>
        <item x="2"/>
        <item x="6"/>
        <item x="0"/>
        <item x="5"/>
        <item t="default"/>
      </items>
    </pivotField>
    <pivotField showAll="0">
      <items count="9">
        <item x="6"/>
        <item x="7"/>
        <item x="2"/>
        <item x="1"/>
        <item x="4"/>
        <item x="0"/>
        <item x="3"/>
        <item x="5"/>
        <item t="default"/>
      </items>
    </pivotField>
    <pivotField dataField="1" numFmtId="165" showAll="0"/>
    <pivotField showAll="0"/>
    <pivotField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nit price" fld="11" baseField="0" baseItem="0" numFmtId="165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8CA17-F5CF-4EBE-B45E-71A732A3A70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8:J24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1"/>
        <item x="3"/>
        <item x="4"/>
        <item x="7"/>
        <item x="2"/>
        <item x="6"/>
        <item x="0"/>
        <item x="5"/>
        <item t="default"/>
      </items>
    </pivotField>
    <pivotField showAll="0"/>
    <pivotField numFmtId="165" showAll="0"/>
    <pivotField showAll="0"/>
    <pivotField axis="axisRow" dataField="1" showAll="0">
      <items count="5">
        <item x="3"/>
        <item x="1"/>
        <item x="0"/>
        <item x="2"/>
        <item t="default"/>
      </items>
    </pivotField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Payment method replaced" fld="13" subtotal="count" baseField="0" baseItem="0"/>
  </dataFields>
  <chartFormats count="80"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9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0"/>
          </reference>
        </references>
      </pivotArea>
    </chartFormat>
    <chartFormat chart="2" format="50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1"/>
          </reference>
        </references>
      </pivotArea>
    </chartFormat>
    <chartFormat chart="2" format="5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2"/>
          </reference>
        </references>
      </pivotArea>
    </chartFormat>
    <chartFormat chart="2" format="52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3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54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0"/>
          </reference>
        </references>
      </pivotArea>
    </chartFormat>
    <chartFormat chart="2" format="55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1"/>
          </reference>
        </references>
      </pivotArea>
    </chartFormat>
    <chartFormat chart="2" format="56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2"/>
          </reference>
        </references>
      </pivotArea>
    </chartFormat>
    <chartFormat chart="2" format="57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3"/>
          </reference>
        </references>
      </pivotArea>
    </chartFormat>
    <chartFormat chart="2" format="5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59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0"/>
          </reference>
        </references>
      </pivotArea>
    </chartFormat>
    <chartFormat chart="2" format="60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1"/>
          </reference>
        </references>
      </pivotArea>
    </chartFormat>
    <chartFormat chart="2" format="6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2"/>
          </reference>
        </references>
      </pivotArea>
    </chartFormat>
    <chartFormat chart="2" format="62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3"/>
          </reference>
        </references>
      </pivotArea>
    </chartFormat>
    <chartFormat chart="2" format="6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64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0"/>
          </reference>
        </references>
      </pivotArea>
    </chartFormat>
    <chartFormat chart="2" format="65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1"/>
          </reference>
        </references>
      </pivotArea>
    </chartFormat>
    <chartFormat chart="2" format="66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2"/>
          </reference>
        </references>
      </pivotArea>
    </chartFormat>
    <chartFormat chart="2" format="67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3"/>
          </reference>
        </references>
      </pivotArea>
    </chartFormat>
    <chartFormat chart="2" format="6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69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0"/>
          </reference>
        </references>
      </pivotArea>
    </chartFormat>
    <chartFormat chart="2" format="70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1"/>
          </reference>
        </references>
      </pivotArea>
    </chartFormat>
    <chartFormat chart="2" format="71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2"/>
          </reference>
        </references>
      </pivotArea>
    </chartFormat>
    <chartFormat chart="2" format="72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3"/>
          </reference>
        </references>
      </pivotArea>
    </chartFormat>
    <chartFormat chart="2" format="7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74">
      <pivotArea type="data" outline="0" fieldPosition="0">
        <references count="3">
          <reference field="4294967294" count="1" selected="0">
            <x v="0"/>
          </reference>
          <reference field="9" count="1" selected="0">
            <x v="5"/>
          </reference>
          <reference field="13" count="1" selected="0">
            <x v="0"/>
          </reference>
        </references>
      </pivotArea>
    </chartFormat>
    <chartFormat chart="2" format="75">
      <pivotArea type="data" outline="0" fieldPosition="0">
        <references count="3">
          <reference field="4294967294" count="1" selected="0">
            <x v="0"/>
          </reference>
          <reference field="9" count="1" selected="0">
            <x v="5"/>
          </reference>
          <reference field="13" count="1" selected="0">
            <x v="1"/>
          </reference>
        </references>
      </pivotArea>
    </chartFormat>
    <chartFormat chart="2" format="76">
      <pivotArea type="data" outline="0" fieldPosition="0">
        <references count="3">
          <reference field="4294967294" count="1" selected="0">
            <x v="0"/>
          </reference>
          <reference field="9" count="1" selected="0">
            <x v="5"/>
          </reference>
          <reference field="13" count="1" selected="0">
            <x v="2"/>
          </reference>
        </references>
      </pivotArea>
    </chartFormat>
    <chartFormat chart="2" format="77">
      <pivotArea type="data" outline="0" fieldPosition="0">
        <references count="3">
          <reference field="4294967294" count="1" selected="0">
            <x v="0"/>
          </reference>
          <reference field="9" count="1" selected="0">
            <x v="5"/>
          </reference>
          <reference field="13" count="1" selected="0">
            <x v="3"/>
          </reference>
        </references>
      </pivotArea>
    </chartFormat>
    <chartFormat chart="2" format="7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79">
      <pivotArea type="data" outline="0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3" count="1" selected="0">
            <x v="0"/>
          </reference>
        </references>
      </pivotArea>
    </chartFormat>
    <chartFormat chart="2" format="80">
      <pivotArea type="data" outline="0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3" count="1" selected="0">
            <x v="1"/>
          </reference>
        </references>
      </pivotArea>
    </chartFormat>
    <chartFormat chart="2" format="81">
      <pivotArea type="data" outline="0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3" count="1" selected="0">
            <x v="2"/>
          </reference>
        </references>
      </pivotArea>
    </chartFormat>
    <chartFormat chart="2" format="82">
      <pivotArea type="data" outline="0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3" count="1" selected="0">
            <x v="3"/>
          </reference>
        </references>
      </pivotArea>
    </chartFormat>
    <chartFormat chart="2" format="8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84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3" count="1" selected="0">
            <x v="0"/>
          </reference>
        </references>
      </pivotArea>
    </chartFormat>
    <chartFormat chart="2" format="85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3" count="1" selected="0">
            <x v="1"/>
          </reference>
        </references>
      </pivotArea>
    </chartFormat>
    <chartFormat chart="2" format="86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3" count="1" selected="0">
            <x v="2"/>
          </reference>
        </references>
      </pivotArea>
    </chartFormat>
    <chartFormat chart="2" format="87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3" count="1" selected="0">
            <x v="3"/>
          </reference>
        </references>
      </pivotArea>
    </chartFormat>
    <chartFormat chart="4" format="1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29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0"/>
          </reference>
        </references>
      </pivotArea>
    </chartFormat>
    <chartFormat chart="4" format="130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1"/>
          </reference>
        </references>
      </pivotArea>
    </chartFormat>
    <chartFormat chart="4" format="13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2"/>
          </reference>
        </references>
      </pivotArea>
    </chartFormat>
    <chartFormat chart="4" format="132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3"/>
          </reference>
        </references>
      </pivotArea>
    </chartFormat>
    <chartFormat chart="4" format="1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34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0"/>
          </reference>
        </references>
      </pivotArea>
    </chartFormat>
    <chartFormat chart="4" format="135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1"/>
          </reference>
        </references>
      </pivotArea>
    </chartFormat>
    <chartFormat chart="4" format="136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2"/>
          </reference>
        </references>
      </pivotArea>
    </chartFormat>
    <chartFormat chart="4" format="137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3"/>
          </reference>
        </references>
      </pivotArea>
    </chartFormat>
    <chartFormat chart="4" format="13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39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0"/>
          </reference>
        </references>
      </pivotArea>
    </chartFormat>
    <chartFormat chart="4" format="140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1"/>
          </reference>
        </references>
      </pivotArea>
    </chartFormat>
    <chartFormat chart="4" format="14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2"/>
          </reference>
        </references>
      </pivotArea>
    </chartFormat>
    <chartFormat chart="4" format="142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3"/>
          </reference>
        </references>
      </pivotArea>
    </chartFormat>
    <chartFormat chart="4" format="14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144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0"/>
          </reference>
        </references>
      </pivotArea>
    </chartFormat>
    <chartFormat chart="4" format="145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1"/>
          </reference>
        </references>
      </pivotArea>
    </chartFormat>
    <chartFormat chart="4" format="146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2"/>
          </reference>
        </references>
      </pivotArea>
    </chartFormat>
    <chartFormat chart="4" format="147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3"/>
          </reference>
        </references>
      </pivotArea>
    </chartFormat>
    <chartFormat chart="4" format="14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149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0"/>
          </reference>
        </references>
      </pivotArea>
    </chartFormat>
    <chartFormat chart="4" format="150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1"/>
          </reference>
        </references>
      </pivotArea>
    </chartFormat>
    <chartFormat chart="4" format="151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2"/>
          </reference>
        </references>
      </pivotArea>
    </chartFormat>
    <chartFormat chart="4" format="152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3"/>
          </reference>
        </references>
      </pivotArea>
    </chartFormat>
    <chartFormat chart="4" format="1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154">
      <pivotArea type="data" outline="0" fieldPosition="0">
        <references count="3">
          <reference field="4294967294" count="1" selected="0">
            <x v="0"/>
          </reference>
          <reference field="9" count="1" selected="0">
            <x v="5"/>
          </reference>
          <reference field="13" count="1" selected="0">
            <x v="0"/>
          </reference>
        </references>
      </pivotArea>
    </chartFormat>
    <chartFormat chart="4" format="155">
      <pivotArea type="data" outline="0" fieldPosition="0">
        <references count="3">
          <reference field="4294967294" count="1" selected="0">
            <x v="0"/>
          </reference>
          <reference field="9" count="1" selected="0">
            <x v="5"/>
          </reference>
          <reference field="13" count="1" selected="0">
            <x v="1"/>
          </reference>
        </references>
      </pivotArea>
    </chartFormat>
    <chartFormat chart="4" format="156">
      <pivotArea type="data" outline="0" fieldPosition="0">
        <references count="3">
          <reference field="4294967294" count="1" selected="0">
            <x v="0"/>
          </reference>
          <reference field="9" count="1" selected="0">
            <x v="5"/>
          </reference>
          <reference field="13" count="1" selected="0">
            <x v="2"/>
          </reference>
        </references>
      </pivotArea>
    </chartFormat>
    <chartFormat chart="4" format="157">
      <pivotArea type="data" outline="0" fieldPosition="0">
        <references count="3">
          <reference field="4294967294" count="1" selected="0">
            <x v="0"/>
          </reference>
          <reference field="9" count="1" selected="0">
            <x v="5"/>
          </reference>
          <reference field="13" count="1" selected="0">
            <x v="3"/>
          </reference>
        </references>
      </pivotArea>
    </chartFormat>
    <chartFormat chart="4" format="15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4" format="159">
      <pivotArea type="data" outline="0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3" count="1" selected="0">
            <x v="0"/>
          </reference>
        </references>
      </pivotArea>
    </chartFormat>
    <chartFormat chart="4" format="160">
      <pivotArea type="data" outline="0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3" count="1" selected="0">
            <x v="1"/>
          </reference>
        </references>
      </pivotArea>
    </chartFormat>
    <chartFormat chart="4" format="161">
      <pivotArea type="data" outline="0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3" count="1" selected="0">
            <x v="2"/>
          </reference>
        </references>
      </pivotArea>
    </chartFormat>
    <chartFormat chart="4" format="162">
      <pivotArea type="data" outline="0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3" count="1" selected="0">
            <x v="3"/>
          </reference>
        </references>
      </pivotArea>
    </chartFormat>
    <chartFormat chart="4" format="16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4" format="164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3" count="1" selected="0">
            <x v="0"/>
          </reference>
        </references>
      </pivotArea>
    </chartFormat>
    <chartFormat chart="4" format="165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3" count="1" selected="0">
            <x v="1"/>
          </reference>
        </references>
      </pivotArea>
    </chartFormat>
    <chartFormat chart="4" format="166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3" count="1" selected="0">
            <x v="2"/>
          </reference>
        </references>
      </pivotArea>
    </chartFormat>
    <chartFormat chart="4" format="167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3" count="1" selected="0">
            <x v="3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70B1B-3D6C-43BA-8CD1-C497A890649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4:J12" firstHeaderRow="1" firstDataRow="2" firstDataCol="1"/>
  <pivotFields count="15"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4"/>
        <item x="5"/>
        <item x="3"/>
        <item t="default"/>
      </items>
    </pivotField>
    <pivotField axis="axisRow" showAll="0">
      <items count="7">
        <item x="0"/>
        <item x="1"/>
        <item x="2"/>
        <item x="4"/>
        <item x="3"/>
        <item x="5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9">
        <item x="1"/>
        <item x="3"/>
        <item x="4"/>
        <item x="7"/>
        <item x="2"/>
        <item x="6"/>
        <item x="0"/>
        <item x="5"/>
        <item t="default"/>
      </items>
    </pivotField>
    <pivotField showAll="0"/>
    <pivotField dataField="1" showAll="0"/>
    <pivotField numFmtId="165" showAll="0"/>
    <pivotField showAll="0"/>
    <pivotField axis="axisCol" showAll="0">
      <items count="5">
        <item x="3"/>
        <item x="1"/>
        <item x="0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Quantity" fld="10" subtotal="count" baseField="0" baseItem="0"/>
  </dataFields>
  <chartFormats count="8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F8A4C-22C8-48A1-B0EA-A10883F7B90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B13" firstHeaderRow="1" firstDataRow="1" firstDataCol="1"/>
  <pivotFields count="15">
    <pivotField showAll="0"/>
    <pivotField showAll="0"/>
    <pivotField showAll="0"/>
    <pivotField showAll="0"/>
    <pivotField axis="axisRow" showAll="0">
      <items count="9">
        <item x="1"/>
        <item x="4"/>
        <item x="0"/>
        <item x="5"/>
        <item x="2"/>
        <item x="7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Unit price" fld="11" subtotal="average" baseField="0" baseItem="0" numFmtId="165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4B7A5-FB58-4A9E-948E-24B7C4191FC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L18:M25" firstHeaderRow="1" firstDataRow="1" firstDataCol="1"/>
  <pivotFields count="15">
    <pivotField dataField="1" showAll="0"/>
    <pivotField showAll="0">
      <items count="205">
        <item x="6"/>
        <item x="160"/>
        <item x="116"/>
        <item x="70"/>
        <item x="176"/>
        <item x="52"/>
        <item x="0"/>
        <item x="27"/>
        <item x="123"/>
        <item x="180"/>
        <item x="114"/>
        <item x="146"/>
        <item x="173"/>
        <item x="107"/>
        <item x="167"/>
        <item x="168"/>
        <item x="152"/>
        <item x="2"/>
        <item x="110"/>
        <item x="131"/>
        <item x="141"/>
        <item x="89"/>
        <item x="86"/>
        <item x="34"/>
        <item x="147"/>
        <item x="154"/>
        <item x="183"/>
        <item x="117"/>
        <item x="67"/>
        <item x="103"/>
        <item x="35"/>
        <item x="76"/>
        <item x="79"/>
        <item x="80"/>
        <item x="128"/>
        <item x="153"/>
        <item x="170"/>
        <item x="104"/>
        <item x="129"/>
        <item x="178"/>
        <item x="171"/>
        <item x="161"/>
        <item x="74"/>
        <item x="186"/>
        <item x="150"/>
        <item x="179"/>
        <item x="14"/>
        <item x="9"/>
        <item x="53"/>
        <item x="134"/>
        <item x="68"/>
        <item x="97"/>
        <item x="133"/>
        <item x="174"/>
        <item x="85"/>
        <item x="48"/>
        <item x="71"/>
        <item x="55"/>
        <item x="12"/>
        <item x="41"/>
        <item x="45"/>
        <item x="125"/>
        <item x="39"/>
        <item x="181"/>
        <item x="169"/>
        <item x="92"/>
        <item x="61"/>
        <item x="145"/>
        <item x="78"/>
        <item x="36"/>
        <item x="109"/>
        <item x="18"/>
        <item x="15"/>
        <item x="20"/>
        <item x="158"/>
        <item x="119"/>
        <item x="23"/>
        <item x="22"/>
        <item x="120"/>
        <item x="29"/>
        <item x="72"/>
        <item x="7"/>
        <item x="5"/>
        <item x="40"/>
        <item x="33"/>
        <item x="42"/>
        <item x="112"/>
        <item x="118"/>
        <item x="122"/>
        <item x="17"/>
        <item x="24"/>
        <item x="31"/>
        <item x="162"/>
        <item x="200"/>
        <item x="132"/>
        <item x="135"/>
        <item x="56"/>
        <item x="105"/>
        <item x="157"/>
        <item x="10"/>
        <item x="43"/>
        <item x="106"/>
        <item x="13"/>
        <item x="175"/>
        <item x="62"/>
        <item x="111"/>
        <item x="142"/>
        <item x="192"/>
        <item x="148"/>
        <item x="189"/>
        <item x="73"/>
        <item x="121"/>
        <item x="143"/>
        <item x="140"/>
        <item x="59"/>
        <item x="51"/>
        <item x="25"/>
        <item x="197"/>
        <item x="84"/>
        <item x="11"/>
        <item x="66"/>
        <item x="37"/>
        <item x="193"/>
        <item x="96"/>
        <item x="138"/>
        <item x="47"/>
        <item x="93"/>
        <item x="90"/>
        <item x="46"/>
        <item x="94"/>
        <item x="115"/>
        <item x="3"/>
        <item x="177"/>
        <item x="54"/>
        <item x="144"/>
        <item x="69"/>
        <item x="4"/>
        <item x="113"/>
        <item x="50"/>
        <item x="151"/>
        <item x="137"/>
        <item x="164"/>
        <item x="28"/>
        <item x="32"/>
        <item x="101"/>
        <item x="21"/>
        <item x="194"/>
        <item x="130"/>
        <item x="99"/>
        <item x="98"/>
        <item x="195"/>
        <item x="91"/>
        <item x="30"/>
        <item x="1"/>
        <item x="16"/>
        <item x="139"/>
        <item x="100"/>
        <item x="187"/>
        <item x="65"/>
        <item x="136"/>
        <item x="127"/>
        <item x="64"/>
        <item x="63"/>
        <item x="87"/>
        <item x="155"/>
        <item x="149"/>
        <item x="81"/>
        <item x="60"/>
        <item x="75"/>
        <item x="82"/>
        <item x="163"/>
        <item x="198"/>
        <item x="58"/>
        <item x="38"/>
        <item x="202"/>
        <item x="8"/>
        <item x="95"/>
        <item x="83"/>
        <item x="44"/>
        <item x="49"/>
        <item x="108"/>
        <item x="102"/>
        <item x="19"/>
        <item x="184"/>
        <item x="196"/>
        <item x="165"/>
        <item x="159"/>
        <item x="57"/>
        <item x="26"/>
        <item x="188"/>
        <item x="172"/>
        <item x="201"/>
        <item x="185"/>
        <item x="203"/>
        <item x="88"/>
        <item x="126"/>
        <item x="124"/>
        <item x="191"/>
        <item x="182"/>
        <item x="156"/>
        <item x="77"/>
        <item x="199"/>
        <item x="166"/>
        <item x="190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4"/>
        <item x="5"/>
        <item x="3"/>
        <item t="default"/>
      </items>
    </pivotField>
    <pivotField axis="axisRow" showAll="0">
      <items count="7">
        <item x="0"/>
        <item x="1"/>
        <item x="2"/>
        <item x="4"/>
        <item x="3"/>
        <item x="5"/>
        <item t="default"/>
      </items>
    </pivotField>
    <pivotField showAll="0">
      <items count="5">
        <item x="3"/>
        <item x="2"/>
        <item h="1" x="0"/>
        <item h="1" x="1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 ID" fld="0" subtotal="count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B243A-B427-42DE-85B2-CC1A3717D884}" name="Table1" displayName="Table1" ref="A1:O701" totalsRowShown="0" headerRowDxfId="22">
  <autoFilter ref="A1:O701" xr:uid="{2D7B243A-B427-42DE-85B2-CC1A3717D884}"/>
  <sortState xmlns:xlrd2="http://schemas.microsoft.com/office/spreadsheetml/2017/richdata2" ref="A2:O701">
    <sortCondition ref="A2:A701"/>
  </sortState>
  <tableColumns count="15">
    <tableColumn id="1" xr3:uid="{2E6A1FDC-9DFB-4B75-A764-6424CA84F7DC}" name="Order ID" dataDxfId="21"/>
    <tableColumn id="2" xr3:uid="{F4AAB86A-3993-4FB6-86F8-E69DEE9D90A9}" name="Order date" dataDxfId="20"/>
    <tableColumn id="3" xr3:uid="{99915E41-12D4-47C3-BCD5-7E287686EB53}" name="Customer ID" dataDxfId="19"/>
    <tableColumn id="4" xr3:uid="{5799564F-07B4-4B5C-B97A-2FB86DB527DC}" name="Customer Name" dataDxfId="18"/>
    <tableColumn id="5" xr3:uid="{5886BB18-FEF2-4F05-8F6E-6ED3F9C50187}" name="City"/>
    <tableColumn id="6" xr3:uid="{2363A191-0753-4579-823D-25FBDFFE5339}" name="State"/>
    <tableColumn id="13" xr3:uid="{493CE181-29BE-46DD-8759-27ACE20C0959}" name="State  replaced" dataDxfId="17">
      <calculatedColumnFormula>IF(ISBLANK(Table1[[#This Row],[State]]),"Unknown",Table1[[#This Row],[State]])</calculatedColumnFormula>
    </tableColumn>
    <tableColumn id="7" xr3:uid="{24456862-611A-4198-88FB-DC705AD8C652}" name="Category"/>
    <tableColumn id="8" xr3:uid="{43AD11C2-7DBF-4506-A7B0-F6449E1EBE95}" name="Product"/>
    <tableColumn id="14" xr3:uid="{E37B972F-C336-40E9-A2AB-EF2B9949ED1F}" name="Product replaced" dataDxfId="16">
      <calculatedColumnFormula>IF(ISBLANK(Table1[[#This Row],[Product]]),"Unknown",Table1[[#This Row],[Product]])</calculatedColumnFormula>
    </tableColumn>
    <tableColumn id="9" xr3:uid="{003A8974-AEBA-46C5-B6A4-C170BE32C695}" name="Quantity" dataDxfId="15"/>
    <tableColumn id="10" xr3:uid="{05220C7B-7D64-4230-819B-E02A9E7C30D6}" name="Unit price" dataDxfId="14"/>
    <tableColumn id="11" xr3:uid="{82B14FAE-5C78-442A-98DC-5A07EA35B077}" name="Payment method"/>
    <tableColumn id="15" xr3:uid="{A0003793-0FA2-4E0E-ACB0-15C2654C3FB5}" name="Payment method replaced" dataDxfId="13">
      <calculatedColumnFormula>IF(ISBLANK(Table1[[#This Row],[Payment method]]),"Unknown",Table1[[#This Row],[Payment method]])</calculatedColumnFormula>
    </tableColumn>
    <tableColumn id="12" xr3:uid="{FF4A28D6-73B1-44F0-9BCF-6E0EA3AB3FDE}" name="Order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1DF669-0046-4AC4-AA52-B12784152BCA}" name="Table2" displayName="Table2" ref="P1:P701" totalsRowShown="0" headerRowDxfId="12">
  <autoFilter ref="P1:P701" xr:uid="{F91DF669-0046-4AC4-AA52-B12784152BCA}"/>
  <tableColumns count="1">
    <tableColumn id="1" xr3:uid="{3699241D-B0E6-46BE-85E3-3463EBE4503F}" name="Price Range" dataDxfId="11">
      <calculatedColumnFormula>IF(Table1[[#This Row],[Unit price]]&gt;2000,"High Price","Standard Price")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C65201-6D1A-4E74-B4F0-C194945A7551}" name="Table3" displayName="Table3" ref="A706:F731" totalsRowShown="0" headerRowDxfId="10" headerRowBorderDxfId="9" tableBorderDxfId="8">
  <autoFilter ref="A706:F731" xr:uid="{82C65201-6D1A-4E74-B4F0-C194945A7551}"/>
  <tableColumns count="6">
    <tableColumn id="1" xr3:uid="{B19812DF-6DC5-4967-845B-621AF9CEF745}" name="Order ID" dataDxfId="7"/>
    <tableColumn id="2" xr3:uid="{5CC45B3C-478C-446D-9E8F-B79233F6C209}" name="Order date" dataDxfId="6">
      <calculatedColumnFormula>VLOOKUP(A707,A2:F26,2,FALSE)</calculatedColumnFormula>
    </tableColumn>
    <tableColumn id="3" xr3:uid="{CE78714D-21C8-4B39-9A1E-076DF12C4AE0}" name="Customer ID" dataDxfId="5">
      <calculatedColumnFormula>VLOOKUP(B707,B2:G26,2,FALSE)</calculatedColumnFormula>
    </tableColumn>
    <tableColumn id="4" xr3:uid="{4E3C5D99-0B48-474F-8C10-0C15C05E2DFD}" name="Customer Name" dataDxfId="4">
      <calculatedColumnFormula>VLOOKUP(C707,C2:H26,2,FALSE)</calculatedColumnFormula>
    </tableColumn>
    <tableColumn id="5" xr3:uid="{2016E87A-8A2E-45BA-9345-BF4317593550}" name="City" dataDxfId="3">
      <calculatedColumnFormula>VLOOKUP(D707,D2:I26,2,FALSE)</calculatedColumnFormula>
    </tableColumn>
    <tableColumn id="6" xr3:uid="{1F2A21B0-CF07-4CB7-9382-5BFAE07CB74A}" name="State" dataDxfId="2">
      <calculatedColumnFormula>VLOOKUP(E707,E2:J26,2,FALSE)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A3DD-9488-4B70-A124-8ED3098F8BED}">
  <dimension ref="A1:Q883"/>
  <sheetViews>
    <sheetView tabSelected="1" zoomScaleNormal="100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10" style="3" customWidth="1"/>
    <col min="2" max="2" width="11.88671875" style="1" customWidth="1"/>
    <col min="3" max="3" width="13.44140625" style="3" customWidth="1"/>
    <col min="4" max="4" width="16.6640625" style="3" customWidth="1"/>
    <col min="5" max="5" width="9.6640625" bestFit="1" customWidth="1"/>
    <col min="6" max="6" width="12" bestFit="1" customWidth="1"/>
    <col min="7" max="7" width="11.6640625" customWidth="1"/>
    <col min="8" max="8" width="10.88671875" bestFit="1" customWidth="1"/>
    <col min="9" max="9" width="11.21875" bestFit="1" customWidth="1"/>
    <col min="10" max="10" width="11.21875" customWidth="1"/>
    <col min="11" max="11" width="8.5546875" style="3" customWidth="1"/>
    <col min="12" max="12" width="10.44140625" style="10" customWidth="1"/>
    <col min="13" max="13" width="15.21875" bestFit="1" customWidth="1"/>
    <col min="14" max="14" width="15.21875" customWidth="1"/>
    <col min="15" max="15" width="13.21875" customWidth="1"/>
    <col min="16" max="16" width="14.6640625" customWidth="1"/>
    <col min="17" max="17" width="13.6640625" customWidth="1"/>
    <col min="18" max="18" width="12" bestFit="1" customWidth="1"/>
  </cols>
  <sheetData>
    <row r="1" spans="1:17" s="2" customFormat="1" ht="28.8" x14ac:dyDescent="0.3">
      <c r="A1" s="2" t="s">
        <v>235</v>
      </c>
      <c r="B1" s="4" t="s">
        <v>245</v>
      </c>
      <c r="C1" s="2" t="s">
        <v>236</v>
      </c>
      <c r="D1" s="2" t="s">
        <v>237</v>
      </c>
      <c r="E1" s="2" t="s">
        <v>238</v>
      </c>
      <c r="F1" s="2" t="s">
        <v>239</v>
      </c>
      <c r="G1" s="2" t="s">
        <v>251</v>
      </c>
      <c r="H1" s="2" t="s">
        <v>240</v>
      </c>
      <c r="I1" s="2" t="s">
        <v>241</v>
      </c>
      <c r="J1" s="2" t="s">
        <v>250</v>
      </c>
      <c r="K1" s="2" t="s">
        <v>242</v>
      </c>
      <c r="L1" s="9" t="s">
        <v>246</v>
      </c>
      <c r="M1" s="2" t="s">
        <v>243</v>
      </c>
      <c r="N1" s="2" t="s">
        <v>252</v>
      </c>
      <c r="O1" s="2" t="s">
        <v>244</v>
      </c>
      <c r="P1" s="2" t="s">
        <v>257</v>
      </c>
    </row>
    <row r="2" spans="1:17" x14ac:dyDescent="0.3">
      <c r="A2" s="3">
        <v>10001</v>
      </c>
      <c r="B2" s="1">
        <v>45662</v>
      </c>
      <c r="C2" s="3" t="s">
        <v>0</v>
      </c>
      <c r="D2" s="3" t="s">
        <v>1</v>
      </c>
      <c r="E2" t="s">
        <v>20</v>
      </c>
      <c r="F2" t="s">
        <v>20</v>
      </c>
      <c r="G2" t="str">
        <f>IF(ISBLANK(Table1[[#This Row],[State]]),"Unknown",Table1[[#This Row],[State]])</f>
        <v>Delhi</v>
      </c>
      <c r="H2" t="s">
        <v>2</v>
      </c>
      <c r="I2" t="s">
        <v>3</v>
      </c>
      <c r="J2" t="str">
        <f>IF(ISBLANK(Table1[[#This Row],[Product]]),"Unknown",Table1[[#This Row],[Product]])</f>
        <v>T-Shirt</v>
      </c>
      <c r="K2" s="3">
        <v>4</v>
      </c>
      <c r="L2" s="10">
        <v>799</v>
      </c>
      <c r="M2" t="s">
        <v>4</v>
      </c>
      <c r="N2" t="str">
        <f>IF(ISBLANK(Table1[[#This Row],[Payment method]]),"Unknown",Table1[[#This Row],[Payment method]])</f>
        <v>Net Banking</v>
      </c>
      <c r="O2" t="s">
        <v>5</v>
      </c>
      <c r="P2" t="str">
        <f>IF(Table1[[#This Row],[Unit price]]&gt;2000,"High Price","Standard Price")</f>
        <v>Standard Price</v>
      </c>
    </row>
    <row r="3" spans="1:17" x14ac:dyDescent="0.3">
      <c r="A3" s="3">
        <v>10002</v>
      </c>
      <c r="B3" s="1">
        <v>45809</v>
      </c>
      <c r="C3" s="3" t="s">
        <v>6</v>
      </c>
      <c r="D3" s="3" t="s">
        <v>7</v>
      </c>
      <c r="E3" t="s">
        <v>8</v>
      </c>
      <c r="F3" t="s">
        <v>52</v>
      </c>
      <c r="G3" t="str">
        <f>IF(ISBLANK(Table1[[#This Row],[State]]),"Unknown",Table1[[#This Row],[State]])</f>
        <v>Karnataka</v>
      </c>
      <c r="H3" t="s">
        <v>9</v>
      </c>
      <c r="I3" t="s">
        <v>10</v>
      </c>
      <c r="J3" t="str">
        <f>IF(ISBLANK(Table1[[#This Row],[Product]]),"Unknown",Table1[[#This Row],[Product]])</f>
        <v>Chair</v>
      </c>
      <c r="K3" s="3">
        <v>2</v>
      </c>
      <c r="L3" s="10">
        <v>299</v>
      </c>
      <c r="M3" t="s">
        <v>11</v>
      </c>
      <c r="N3" t="str">
        <f>IF(ISBLANK(Table1[[#This Row],[Payment method]]),"Unknown",Table1[[#This Row],[Payment method]])</f>
        <v>Cash on Delivery</v>
      </c>
      <c r="O3" t="s">
        <v>12</v>
      </c>
      <c r="P3" t="str">
        <f>IF(Table1[[#This Row],[Unit price]]&gt;2000,"High Price","Standard Price")</f>
        <v>Standard Price</v>
      </c>
    </row>
    <row r="4" spans="1:17" x14ac:dyDescent="0.3">
      <c r="A4" s="3">
        <v>10003</v>
      </c>
      <c r="B4" s="1">
        <v>45673</v>
      </c>
      <c r="C4" s="3" t="s">
        <v>13</v>
      </c>
      <c r="D4" s="3" t="s">
        <v>14</v>
      </c>
      <c r="E4" t="s">
        <v>32</v>
      </c>
      <c r="F4" t="s">
        <v>15</v>
      </c>
      <c r="G4" t="str">
        <f>IF(ISBLANK(Table1[[#This Row],[State]]),"Unknown",Table1[[#This Row],[State]])</f>
        <v>Maharashtra</v>
      </c>
      <c r="H4" t="s">
        <v>9</v>
      </c>
      <c r="I4" t="s">
        <v>16</v>
      </c>
      <c r="J4" t="str">
        <f>IF(ISBLANK(Table1[[#This Row],[Product]]),"Unknown",Table1[[#This Row],[Product]])</f>
        <v>Lamp</v>
      </c>
      <c r="K4" s="3">
        <v>1</v>
      </c>
      <c r="L4" s="10">
        <v>799</v>
      </c>
      <c r="N4" t="str">
        <f>IF(ISBLANK(Table1[[#This Row],[Payment method]]),"Unknown",Table1[[#This Row],[Payment method]])</f>
        <v>Unknown</v>
      </c>
      <c r="O4" t="s">
        <v>17</v>
      </c>
      <c r="P4" t="str">
        <f>IF(Table1[[#This Row],[Unit price]]&gt;2000,"High Price","Standard Price")</f>
        <v>Standard Price</v>
      </c>
    </row>
    <row r="5" spans="1:17" x14ac:dyDescent="0.3">
      <c r="A5" s="3">
        <v>10004</v>
      </c>
      <c r="B5" s="1">
        <v>45787</v>
      </c>
      <c r="C5" s="3" t="s">
        <v>18</v>
      </c>
      <c r="D5" s="3" t="s">
        <v>19</v>
      </c>
      <c r="E5" t="s">
        <v>20</v>
      </c>
      <c r="F5" t="s">
        <v>20</v>
      </c>
      <c r="G5" t="str">
        <f>IF(ISBLANK(Table1[[#This Row],[State]]),"Unknown",Table1[[#This Row],[State]])</f>
        <v>Delhi</v>
      </c>
      <c r="H5" t="s">
        <v>33</v>
      </c>
      <c r="I5" t="s">
        <v>21</v>
      </c>
      <c r="J5" t="str">
        <f>IF(ISBLANK(Table1[[#This Row],[Product]]),"Unknown",Table1[[#This Row],[Product]])</f>
        <v>Headphones</v>
      </c>
      <c r="K5" s="3">
        <v>1</v>
      </c>
      <c r="L5" s="10">
        <v>499</v>
      </c>
      <c r="M5" t="s">
        <v>11</v>
      </c>
      <c r="N5" t="str">
        <f>IF(ISBLANK(Table1[[#This Row],[Payment method]]),"Unknown",Table1[[#This Row],[Payment method]])</f>
        <v>Cash on Delivery</v>
      </c>
      <c r="O5" t="s">
        <v>5</v>
      </c>
      <c r="P5" t="str">
        <f>IF(Table1[[#This Row],[Unit price]]&gt;2000,"High Price","Standard Price")</f>
        <v>Standard Price</v>
      </c>
    </row>
    <row r="6" spans="1:17" x14ac:dyDescent="0.3">
      <c r="A6" s="3">
        <v>10005</v>
      </c>
      <c r="B6" s="1">
        <v>45792</v>
      </c>
      <c r="C6" s="3" t="s">
        <v>22</v>
      </c>
      <c r="D6" s="3" t="s">
        <v>23</v>
      </c>
      <c r="E6" t="s">
        <v>32</v>
      </c>
      <c r="F6" t="s">
        <v>15</v>
      </c>
      <c r="G6" t="str">
        <f>IF(ISBLANK(Table1[[#This Row],[State]]),"Unknown",Table1[[#This Row],[State]])</f>
        <v>Maharashtra</v>
      </c>
      <c r="H6" t="s">
        <v>2</v>
      </c>
      <c r="I6" t="s">
        <v>24</v>
      </c>
      <c r="J6" t="str">
        <f>IF(ISBLANK(Table1[[#This Row],[Product]]),"Unknown",Table1[[#This Row],[Product]])</f>
        <v>Jeans</v>
      </c>
      <c r="K6" s="3">
        <v>5</v>
      </c>
      <c r="L6" s="10">
        <v>499</v>
      </c>
      <c r="N6" t="str">
        <f>IF(ISBLANK(Table1[[#This Row],[Payment method]]),"Unknown",Table1[[#This Row],[Payment method]])</f>
        <v>Unknown</v>
      </c>
      <c r="O6" t="s">
        <v>17</v>
      </c>
      <c r="P6" t="str">
        <f>IF(Table1[[#This Row],[Unit price]]&gt;2000,"High Price","Standard Price")</f>
        <v>Standard Price</v>
      </c>
    </row>
    <row r="7" spans="1:17" x14ac:dyDescent="0.3">
      <c r="A7" s="3">
        <v>10006</v>
      </c>
      <c r="B7" s="1">
        <v>45738</v>
      </c>
      <c r="C7" s="3" t="s">
        <v>25</v>
      </c>
      <c r="D7" s="3" t="s">
        <v>19</v>
      </c>
      <c r="E7" t="s">
        <v>20</v>
      </c>
      <c r="F7" t="s">
        <v>20</v>
      </c>
      <c r="G7" t="str">
        <f>IF(ISBLANK(Table1[[#This Row],[State]]),"Unknown",Table1[[#This Row],[State]])</f>
        <v>Delhi</v>
      </c>
      <c r="H7" t="s">
        <v>9</v>
      </c>
      <c r="I7" t="s">
        <v>10</v>
      </c>
      <c r="J7" t="str">
        <f>IF(ISBLANK(Table1[[#This Row],[Product]]),"Unknown",Table1[[#This Row],[Product]])</f>
        <v>Chair</v>
      </c>
      <c r="K7" s="3">
        <v>4</v>
      </c>
      <c r="L7" s="10">
        <v>1999</v>
      </c>
      <c r="M7" t="s">
        <v>26</v>
      </c>
      <c r="N7" t="str">
        <f>IF(ISBLANK(Table1[[#This Row],[Payment method]]),"Unknown",Table1[[#This Row],[Payment method]])</f>
        <v>Card</v>
      </c>
      <c r="O7" t="s">
        <v>17</v>
      </c>
      <c r="P7" t="str">
        <f>IF(Table1[[#This Row],[Unit price]]&gt;2000,"High Price","Standard Price")</f>
        <v>Standard Price</v>
      </c>
      <c r="Q7" s="5"/>
    </row>
    <row r="8" spans="1:17" x14ac:dyDescent="0.3">
      <c r="A8" s="3">
        <v>10007</v>
      </c>
      <c r="B8" s="1" t="s">
        <v>27</v>
      </c>
      <c r="C8" s="3" t="s">
        <v>28</v>
      </c>
      <c r="D8" s="3" t="s">
        <v>19</v>
      </c>
      <c r="E8" t="s">
        <v>20</v>
      </c>
      <c r="G8" t="str">
        <f>IF(ISBLANK(Table1[[#This Row],[State]]),"Unknown",Table1[[#This Row],[State]])</f>
        <v>Unknown</v>
      </c>
      <c r="H8" t="s">
        <v>33</v>
      </c>
      <c r="I8" t="s">
        <v>21</v>
      </c>
      <c r="J8" t="str">
        <f>IF(ISBLANK(Table1[[#This Row],[Product]]),"Unknown",Table1[[#This Row],[Product]])</f>
        <v>Headphones</v>
      </c>
      <c r="K8" s="3">
        <v>1</v>
      </c>
      <c r="L8" s="10">
        <v>799</v>
      </c>
      <c r="N8" t="str">
        <f>IF(ISBLANK(Table1[[#This Row],[Payment method]]),"Unknown",Table1[[#This Row],[Payment method]])</f>
        <v>Unknown</v>
      </c>
      <c r="O8" t="s">
        <v>12</v>
      </c>
      <c r="P8" t="str">
        <f>IF(Table1[[#This Row],[Unit price]]&gt;2000,"High Price","Standard Price")</f>
        <v>Standard Price</v>
      </c>
    </row>
    <row r="9" spans="1:17" x14ac:dyDescent="0.3">
      <c r="A9" s="3">
        <v>10008</v>
      </c>
      <c r="B9" s="1">
        <v>45737</v>
      </c>
      <c r="C9" s="3" t="s">
        <v>29</v>
      </c>
      <c r="D9" s="3" t="s">
        <v>19</v>
      </c>
      <c r="E9" t="s">
        <v>8</v>
      </c>
      <c r="F9" t="s">
        <v>52</v>
      </c>
      <c r="G9" t="str">
        <f>IF(ISBLANK(Table1[[#This Row],[State]]),"Unknown",Table1[[#This Row],[State]])</f>
        <v>Karnataka</v>
      </c>
      <c r="H9" t="s">
        <v>9</v>
      </c>
      <c r="J9" t="str">
        <f>IF(ISBLANK(Table1[[#This Row],[Product]]),"Unknown",Table1[[#This Row],[Product]])</f>
        <v>Unknown</v>
      </c>
      <c r="K9" s="3">
        <v>4</v>
      </c>
      <c r="L9" s="10">
        <v>1299</v>
      </c>
      <c r="M9" t="s">
        <v>11</v>
      </c>
      <c r="N9" t="str">
        <f>IF(ISBLANK(Table1[[#This Row],[Payment method]]),"Unknown",Table1[[#This Row],[Payment method]])</f>
        <v>Cash on Delivery</v>
      </c>
      <c r="O9" t="s">
        <v>5</v>
      </c>
      <c r="P9" t="str">
        <f>IF(Table1[[#This Row],[Unit price]]&gt;2000,"High Price","Standard Price")</f>
        <v>Standard Price</v>
      </c>
    </row>
    <row r="10" spans="1:17" x14ac:dyDescent="0.3">
      <c r="A10" s="3">
        <v>10009</v>
      </c>
      <c r="B10" s="1">
        <v>45831</v>
      </c>
      <c r="C10" s="3" t="s">
        <v>30</v>
      </c>
      <c r="D10" s="3" t="s">
        <v>14</v>
      </c>
      <c r="E10" t="s">
        <v>32</v>
      </c>
      <c r="G10" t="str">
        <f>IF(ISBLANK(Table1[[#This Row],[State]]),"Unknown",Table1[[#This Row],[State]])</f>
        <v>Unknown</v>
      </c>
      <c r="H10" t="s">
        <v>2</v>
      </c>
      <c r="I10" t="s">
        <v>24</v>
      </c>
      <c r="J10" t="str">
        <f>IF(ISBLANK(Table1[[#This Row],[Product]]),"Unknown",Table1[[#This Row],[Product]])</f>
        <v>Jeans</v>
      </c>
      <c r="K10" s="3">
        <v>5</v>
      </c>
      <c r="L10" s="10">
        <v>1299</v>
      </c>
      <c r="N10" t="str">
        <f>IF(ISBLANK(Table1[[#This Row],[Payment method]]),"Unknown",Table1[[#This Row],[Payment method]])</f>
        <v>Unknown</v>
      </c>
      <c r="O10" t="s">
        <v>17</v>
      </c>
      <c r="P10" t="str">
        <f>IF(Table1[[#This Row],[Unit price]]&gt;2000,"High Price","Standard Price")</f>
        <v>Standard Price</v>
      </c>
    </row>
    <row r="11" spans="1:17" x14ac:dyDescent="0.3">
      <c r="A11" s="3">
        <v>10010</v>
      </c>
      <c r="B11" s="1">
        <v>45703</v>
      </c>
      <c r="C11" s="3" t="s">
        <v>31</v>
      </c>
      <c r="D11" s="3" t="s">
        <v>1</v>
      </c>
      <c r="E11" t="s">
        <v>32</v>
      </c>
      <c r="F11" t="s">
        <v>15</v>
      </c>
      <c r="G11" t="str">
        <f>IF(ISBLANK(Table1[[#This Row],[State]]),"Unknown",Table1[[#This Row],[State]])</f>
        <v>Maharashtra</v>
      </c>
      <c r="H11" t="s">
        <v>33</v>
      </c>
      <c r="I11" t="s">
        <v>21</v>
      </c>
      <c r="J11" t="str">
        <f>IF(ISBLANK(Table1[[#This Row],[Product]]),"Unknown",Table1[[#This Row],[Product]])</f>
        <v>Headphones</v>
      </c>
      <c r="K11" s="3">
        <v>4</v>
      </c>
      <c r="L11" s="10">
        <v>299</v>
      </c>
      <c r="M11" t="s">
        <v>26</v>
      </c>
      <c r="N11" t="str">
        <f>IF(ISBLANK(Table1[[#This Row],[Payment method]]),"Unknown",Table1[[#This Row],[Payment method]])</f>
        <v>Card</v>
      </c>
      <c r="O11" t="s">
        <v>17</v>
      </c>
      <c r="P11" t="str">
        <f>IF(Table1[[#This Row],[Unit price]]&gt;2000,"High Price","Standard Price")</f>
        <v>Standard Price</v>
      </c>
    </row>
    <row r="12" spans="1:17" x14ac:dyDescent="0.3">
      <c r="A12" s="3">
        <v>10011</v>
      </c>
      <c r="B12" s="1">
        <v>45755</v>
      </c>
      <c r="C12" s="3" t="s">
        <v>34</v>
      </c>
      <c r="D12" s="3" t="s">
        <v>1</v>
      </c>
      <c r="E12" t="s">
        <v>35</v>
      </c>
      <c r="F12" t="s">
        <v>36</v>
      </c>
      <c r="G12" t="str">
        <f>IF(ISBLANK(Table1[[#This Row],[State]]),"Unknown",Table1[[#This Row],[State]])</f>
        <v>Maharastra</v>
      </c>
      <c r="H12" t="s">
        <v>33</v>
      </c>
      <c r="I12" t="s">
        <v>37</v>
      </c>
      <c r="J12" t="str">
        <f>IF(ISBLANK(Table1[[#This Row],[Product]]),"Unknown",Table1[[#This Row],[Product]])</f>
        <v>Mouse</v>
      </c>
      <c r="K12" s="3">
        <v>3</v>
      </c>
      <c r="L12" s="10">
        <v>299</v>
      </c>
      <c r="N12" t="str">
        <f>IF(ISBLANK(Table1[[#This Row],[Payment method]]),"Unknown",Table1[[#This Row],[Payment method]])</f>
        <v>Unknown</v>
      </c>
      <c r="O12" t="s">
        <v>12</v>
      </c>
      <c r="P12" t="str">
        <f>IF(Table1[[#This Row],[Unit price]]&gt;2000,"High Price","Standard Price")</f>
        <v>Standard Price</v>
      </c>
    </row>
    <row r="13" spans="1:17" x14ac:dyDescent="0.3">
      <c r="A13" s="3">
        <v>10012</v>
      </c>
      <c r="B13" s="1">
        <v>45775</v>
      </c>
      <c r="C13" s="3" t="s">
        <v>38</v>
      </c>
      <c r="D13" s="3" t="s">
        <v>39</v>
      </c>
      <c r="E13" t="s">
        <v>35</v>
      </c>
      <c r="F13" t="s">
        <v>36</v>
      </c>
      <c r="G13" t="str">
        <f>IF(ISBLANK(Table1[[#This Row],[State]]),"Unknown",Table1[[#This Row],[State]])</f>
        <v>Maharastra</v>
      </c>
      <c r="H13" t="s">
        <v>33</v>
      </c>
      <c r="I13" t="s">
        <v>37</v>
      </c>
      <c r="J13" t="str">
        <f>IF(ISBLANK(Table1[[#This Row],[Product]]),"Unknown",Table1[[#This Row],[Product]])</f>
        <v>Mouse</v>
      </c>
      <c r="K13" s="3">
        <v>5</v>
      </c>
      <c r="L13" s="10">
        <v>1999</v>
      </c>
      <c r="N13" t="str">
        <f>IF(ISBLANK(Table1[[#This Row],[Payment method]]),"Unknown",Table1[[#This Row],[Payment method]])</f>
        <v>Unknown</v>
      </c>
      <c r="O13" t="s">
        <v>12</v>
      </c>
      <c r="P13" t="str">
        <f>IF(Table1[[#This Row],[Unit price]]&gt;2000,"High Price","Standard Price")</f>
        <v>Standard Price</v>
      </c>
    </row>
    <row r="14" spans="1:17" x14ac:dyDescent="0.3">
      <c r="A14" s="3">
        <v>10013</v>
      </c>
      <c r="B14" s="1">
        <v>45738</v>
      </c>
      <c r="C14" s="3" t="s">
        <v>40</v>
      </c>
      <c r="D14" s="3" t="s">
        <v>7</v>
      </c>
      <c r="E14" t="s">
        <v>20</v>
      </c>
      <c r="F14" t="s">
        <v>20</v>
      </c>
      <c r="G14" t="str">
        <f>IF(ISBLANK(Table1[[#This Row],[State]]),"Unknown",Table1[[#This Row],[State]])</f>
        <v>Delhi</v>
      </c>
      <c r="H14" t="s">
        <v>2</v>
      </c>
      <c r="I14" t="s">
        <v>3</v>
      </c>
      <c r="J14" t="str">
        <f>IF(ISBLANK(Table1[[#This Row],[Product]]),"Unknown",Table1[[#This Row],[Product]])</f>
        <v>T-Shirt</v>
      </c>
      <c r="K14" s="3">
        <v>1</v>
      </c>
      <c r="L14" s="10">
        <v>799</v>
      </c>
      <c r="M14" t="s">
        <v>4</v>
      </c>
      <c r="N14" t="str">
        <f>IF(ISBLANK(Table1[[#This Row],[Payment method]]),"Unknown",Table1[[#This Row],[Payment method]])</f>
        <v>Net Banking</v>
      </c>
      <c r="O14" t="s">
        <v>17</v>
      </c>
      <c r="P14" t="str">
        <f>IF(Table1[[#This Row],[Unit price]]&gt;2000,"High Price","Standard Price")</f>
        <v>Standard Price</v>
      </c>
    </row>
    <row r="15" spans="1:17" x14ac:dyDescent="0.3">
      <c r="A15" s="3">
        <v>10014</v>
      </c>
      <c r="B15" s="1">
        <v>45714</v>
      </c>
      <c r="C15" s="3" t="s">
        <v>41</v>
      </c>
      <c r="D15" s="3" t="s">
        <v>7</v>
      </c>
      <c r="E15" t="s">
        <v>248</v>
      </c>
      <c r="F15" t="s">
        <v>52</v>
      </c>
      <c r="G15" t="str">
        <f>IF(ISBLANK(Table1[[#This Row],[State]]),"Unknown",Table1[[#This Row],[State]])</f>
        <v>Karnataka</v>
      </c>
      <c r="H15" t="s">
        <v>33</v>
      </c>
      <c r="I15" t="s">
        <v>37</v>
      </c>
      <c r="J15" t="str">
        <f>IF(ISBLANK(Table1[[#This Row],[Product]]),"Unknown",Table1[[#This Row],[Product]])</f>
        <v>Mouse</v>
      </c>
      <c r="K15" s="3">
        <v>3</v>
      </c>
      <c r="L15" s="10">
        <v>1999</v>
      </c>
      <c r="N15" t="str">
        <f>IF(ISBLANK(Table1[[#This Row],[Payment method]]),"Unknown",Table1[[#This Row],[Payment method]])</f>
        <v>Unknown</v>
      </c>
      <c r="O15" t="s">
        <v>12</v>
      </c>
      <c r="P15" t="str">
        <f>IF(Table1[[#This Row],[Unit price]]&gt;2000,"High Price","Standard Price")</f>
        <v>Standard Price</v>
      </c>
    </row>
    <row r="16" spans="1:17" x14ac:dyDescent="0.3">
      <c r="A16" s="3">
        <v>10015</v>
      </c>
      <c r="B16" s="1">
        <v>45758</v>
      </c>
      <c r="C16" s="3" t="s">
        <v>42</v>
      </c>
      <c r="D16" s="3" t="s">
        <v>43</v>
      </c>
      <c r="E16" t="s">
        <v>45</v>
      </c>
      <c r="F16" t="s">
        <v>54</v>
      </c>
      <c r="G16" t="str">
        <f>IF(ISBLANK(Table1[[#This Row],[State]]),"Unknown",Table1[[#This Row],[State]])</f>
        <v>Uttar Pradesh</v>
      </c>
      <c r="H16" t="s">
        <v>9</v>
      </c>
      <c r="I16" t="s">
        <v>10</v>
      </c>
      <c r="J16" t="str">
        <f>IF(ISBLANK(Table1[[#This Row],[Product]]),"Unknown",Table1[[#This Row],[Product]])</f>
        <v>Chair</v>
      </c>
      <c r="K16" s="3">
        <v>5</v>
      </c>
      <c r="L16" s="10">
        <v>1299</v>
      </c>
      <c r="N16" t="str">
        <f>IF(ISBLANK(Table1[[#This Row],[Payment method]]),"Unknown",Table1[[#This Row],[Payment method]])</f>
        <v>Unknown</v>
      </c>
      <c r="O16" t="s">
        <v>12</v>
      </c>
      <c r="P16" t="str">
        <f>IF(Table1[[#This Row],[Unit price]]&gt;2000,"High Price","Standard Price")</f>
        <v>Standard Price</v>
      </c>
    </row>
    <row r="17" spans="1:16" x14ac:dyDescent="0.3">
      <c r="A17" s="3">
        <v>10016</v>
      </c>
      <c r="B17" s="1">
        <v>45702</v>
      </c>
      <c r="C17" s="3" t="s">
        <v>44</v>
      </c>
      <c r="D17" s="3" t="s">
        <v>23</v>
      </c>
      <c r="E17" t="s">
        <v>45</v>
      </c>
      <c r="F17" t="s">
        <v>54</v>
      </c>
      <c r="G17" t="str">
        <f>IF(ISBLANK(Table1[[#This Row],[State]]),"Unknown",Table1[[#This Row],[State]])</f>
        <v>Uttar Pradesh</v>
      </c>
      <c r="H17" t="s">
        <v>2</v>
      </c>
      <c r="I17" t="s">
        <v>24</v>
      </c>
      <c r="J17" t="str">
        <f>IF(ISBLANK(Table1[[#This Row],[Product]]),"Unknown",Table1[[#This Row],[Product]])</f>
        <v>Jeans</v>
      </c>
      <c r="K17" s="3">
        <v>1</v>
      </c>
      <c r="L17" s="10">
        <v>499</v>
      </c>
      <c r="M17" t="s">
        <v>26</v>
      </c>
      <c r="N17" t="str">
        <f>IF(ISBLANK(Table1[[#This Row],[Payment method]]),"Unknown",Table1[[#This Row],[Payment method]])</f>
        <v>Card</v>
      </c>
      <c r="O17" t="s">
        <v>5</v>
      </c>
      <c r="P17" t="str">
        <f>IF(Table1[[#This Row],[Unit price]]&gt;2000,"High Price","Standard Price")</f>
        <v>Standard Price</v>
      </c>
    </row>
    <row r="18" spans="1:16" x14ac:dyDescent="0.3">
      <c r="A18" s="3">
        <v>10017</v>
      </c>
      <c r="B18" s="1">
        <v>45728</v>
      </c>
      <c r="C18" s="3" t="s">
        <v>46</v>
      </c>
      <c r="D18" s="3" t="s">
        <v>23</v>
      </c>
      <c r="E18" t="s">
        <v>45</v>
      </c>
      <c r="F18" t="s">
        <v>54</v>
      </c>
      <c r="G18" t="str">
        <f>IF(ISBLANK(Table1[[#This Row],[State]]),"Unknown",Table1[[#This Row],[State]])</f>
        <v>Uttar Pradesh</v>
      </c>
      <c r="H18" t="s">
        <v>9</v>
      </c>
      <c r="I18" t="s">
        <v>16</v>
      </c>
      <c r="J18" t="str">
        <f>IF(ISBLANK(Table1[[#This Row],[Product]]),"Unknown",Table1[[#This Row],[Product]])</f>
        <v>Lamp</v>
      </c>
      <c r="K18" s="3">
        <v>2</v>
      </c>
      <c r="L18" s="10">
        <v>299</v>
      </c>
      <c r="M18" t="s">
        <v>4</v>
      </c>
      <c r="N18" t="str">
        <f>IF(ISBLANK(Table1[[#This Row],[Payment method]]),"Unknown",Table1[[#This Row],[Payment method]])</f>
        <v>Net Banking</v>
      </c>
      <c r="O18" t="s">
        <v>17</v>
      </c>
      <c r="P18" t="str">
        <f>IF(Table1[[#This Row],[Unit price]]&gt;2000,"High Price","Standard Price")</f>
        <v>Standard Price</v>
      </c>
    </row>
    <row r="19" spans="1:16" x14ac:dyDescent="0.3">
      <c r="A19" s="3">
        <v>10018</v>
      </c>
      <c r="B19" s="1">
        <v>45810</v>
      </c>
      <c r="C19" s="3" t="s">
        <v>44</v>
      </c>
      <c r="D19" s="3" t="s">
        <v>14</v>
      </c>
      <c r="E19" t="s">
        <v>32</v>
      </c>
      <c r="F19" t="s">
        <v>15</v>
      </c>
      <c r="G19" t="str">
        <f>IF(ISBLANK(Table1[[#This Row],[State]]),"Unknown",Table1[[#This Row],[State]])</f>
        <v>Maharashtra</v>
      </c>
      <c r="H19" t="s">
        <v>33</v>
      </c>
      <c r="I19" t="s">
        <v>37</v>
      </c>
      <c r="J19" t="str">
        <f>IF(ISBLANK(Table1[[#This Row],[Product]]),"Unknown",Table1[[#This Row],[Product]])</f>
        <v>Mouse</v>
      </c>
      <c r="K19" s="3">
        <v>5</v>
      </c>
      <c r="L19" s="10">
        <v>299</v>
      </c>
      <c r="N19" t="str">
        <f>IF(ISBLANK(Table1[[#This Row],[Payment method]]),"Unknown",Table1[[#This Row],[Payment method]])</f>
        <v>Unknown</v>
      </c>
      <c r="O19" t="s">
        <v>17</v>
      </c>
      <c r="P19" t="str">
        <f>IF(Table1[[#This Row],[Unit price]]&gt;2000,"High Price","Standard Price")</f>
        <v>Standard Price</v>
      </c>
    </row>
    <row r="20" spans="1:16" x14ac:dyDescent="0.3">
      <c r="A20" s="3">
        <v>10019</v>
      </c>
      <c r="B20" s="1">
        <v>45745</v>
      </c>
      <c r="C20" s="3" t="s">
        <v>47</v>
      </c>
      <c r="D20" s="3" t="s">
        <v>7</v>
      </c>
      <c r="E20" t="s">
        <v>8</v>
      </c>
      <c r="F20" t="s">
        <v>52</v>
      </c>
      <c r="G20" t="str">
        <f>IF(ISBLANK(Table1[[#This Row],[State]]),"Unknown",Table1[[#This Row],[State]])</f>
        <v>Karnataka</v>
      </c>
      <c r="H20" t="s">
        <v>33</v>
      </c>
      <c r="I20" t="s">
        <v>21</v>
      </c>
      <c r="J20" t="str">
        <f>IF(ISBLANK(Table1[[#This Row],[Product]]),"Unknown",Table1[[#This Row],[Product]])</f>
        <v>Headphones</v>
      </c>
      <c r="K20" s="3">
        <v>2</v>
      </c>
      <c r="L20" s="10">
        <v>1999</v>
      </c>
      <c r="M20" t="s">
        <v>11</v>
      </c>
      <c r="N20" t="str">
        <f>IF(ISBLANK(Table1[[#This Row],[Payment method]]),"Unknown",Table1[[#This Row],[Payment method]])</f>
        <v>Cash on Delivery</v>
      </c>
      <c r="O20" t="s">
        <v>5</v>
      </c>
      <c r="P20" t="str">
        <f>IF(Table1[[#This Row],[Unit price]]&gt;2000,"High Price","Standard Price")</f>
        <v>Standard Price</v>
      </c>
    </row>
    <row r="21" spans="1:16" x14ac:dyDescent="0.3">
      <c r="A21" s="3">
        <v>10020</v>
      </c>
      <c r="B21" s="1">
        <v>45727</v>
      </c>
      <c r="C21" s="3" t="s">
        <v>48</v>
      </c>
      <c r="D21" s="3" t="s">
        <v>43</v>
      </c>
      <c r="E21" t="s">
        <v>45</v>
      </c>
      <c r="F21" t="s">
        <v>54</v>
      </c>
      <c r="G21" t="str">
        <f>IF(ISBLANK(Table1[[#This Row],[State]]),"Unknown",Table1[[#This Row],[State]])</f>
        <v>Uttar Pradesh</v>
      </c>
      <c r="H21" t="s">
        <v>33</v>
      </c>
      <c r="I21" t="s">
        <v>49</v>
      </c>
      <c r="J21" t="str">
        <f>IF(ISBLANK(Table1[[#This Row],[Product]]),"Unknown",Table1[[#This Row],[Product]])</f>
        <v>Keyboard</v>
      </c>
      <c r="K21" s="3">
        <v>1</v>
      </c>
      <c r="L21" s="10">
        <v>499</v>
      </c>
      <c r="M21" t="s">
        <v>11</v>
      </c>
      <c r="N21" t="str">
        <f>IF(ISBLANK(Table1[[#This Row],[Payment method]]),"Unknown",Table1[[#This Row],[Payment method]])</f>
        <v>Cash on Delivery</v>
      </c>
      <c r="O21" t="s">
        <v>17</v>
      </c>
      <c r="P21" t="str">
        <f>IF(Table1[[#This Row],[Unit price]]&gt;2000,"High Price","Standard Price")</f>
        <v>Standard Price</v>
      </c>
    </row>
    <row r="22" spans="1:16" x14ac:dyDescent="0.3">
      <c r="A22" s="3">
        <v>10021</v>
      </c>
      <c r="B22" s="1">
        <v>45839</v>
      </c>
      <c r="C22" s="3" t="s">
        <v>50</v>
      </c>
      <c r="D22" s="3" t="s">
        <v>19</v>
      </c>
      <c r="E22" t="s">
        <v>45</v>
      </c>
      <c r="F22" t="s">
        <v>54</v>
      </c>
      <c r="G22" t="str">
        <f>IF(ISBLANK(Table1[[#This Row],[State]]),"Unknown",Table1[[#This Row],[State]])</f>
        <v>Uttar Pradesh</v>
      </c>
      <c r="H22" t="s">
        <v>33</v>
      </c>
      <c r="I22" t="s">
        <v>37</v>
      </c>
      <c r="J22" t="str">
        <f>IF(ISBLANK(Table1[[#This Row],[Product]]),"Unknown",Table1[[#This Row],[Product]])</f>
        <v>Mouse</v>
      </c>
      <c r="K22" s="3">
        <v>4</v>
      </c>
      <c r="L22" s="10">
        <v>299</v>
      </c>
      <c r="M22" t="s">
        <v>11</v>
      </c>
      <c r="N22" t="str">
        <f>IF(ISBLANK(Table1[[#This Row],[Payment method]]),"Unknown",Table1[[#This Row],[Payment method]])</f>
        <v>Cash on Delivery</v>
      </c>
      <c r="O22" t="s">
        <v>17</v>
      </c>
      <c r="P22" t="str">
        <f>IF(Table1[[#This Row],[Unit price]]&gt;2000,"High Price","Standard Price")</f>
        <v>Standard Price</v>
      </c>
    </row>
    <row r="23" spans="1:16" x14ac:dyDescent="0.3">
      <c r="A23" s="3">
        <v>10022</v>
      </c>
      <c r="B23" s="1">
        <v>45729</v>
      </c>
      <c r="C23" s="3" t="s">
        <v>51</v>
      </c>
      <c r="D23" s="3" t="s">
        <v>1</v>
      </c>
      <c r="E23" t="s">
        <v>8</v>
      </c>
      <c r="F23" t="s">
        <v>52</v>
      </c>
      <c r="G23" t="str">
        <f>IF(ISBLANK(Table1[[#This Row],[State]]),"Unknown",Table1[[#This Row],[State]])</f>
        <v>Karnataka</v>
      </c>
      <c r="H23" t="s">
        <v>2</v>
      </c>
      <c r="I23" t="s">
        <v>3</v>
      </c>
      <c r="J23" t="str">
        <f>IF(ISBLANK(Table1[[#This Row],[Product]]),"Unknown",Table1[[#This Row],[Product]])</f>
        <v>T-Shirt</v>
      </c>
      <c r="K23" s="3">
        <v>2</v>
      </c>
      <c r="L23" s="10">
        <v>799</v>
      </c>
      <c r="M23" t="s">
        <v>11</v>
      </c>
      <c r="N23" t="str">
        <f>IF(ISBLANK(Table1[[#This Row],[Payment method]]),"Unknown",Table1[[#This Row],[Payment method]])</f>
        <v>Cash on Delivery</v>
      </c>
      <c r="O23" t="s">
        <v>12</v>
      </c>
      <c r="P23" t="str">
        <f>IF(Table1[[#This Row],[Unit price]]&gt;2000,"High Price","Standard Price")</f>
        <v>Standard Price</v>
      </c>
    </row>
    <row r="24" spans="1:16" x14ac:dyDescent="0.3">
      <c r="A24" s="3">
        <v>10023</v>
      </c>
      <c r="B24" s="1">
        <v>45801</v>
      </c>
      <c r="C24" s="3" t="s">
        <v>53</v>
      </c>
      <c r="D24" s="3" t="s">
        <v>14</v>
      </c>
      <c r="E24" t="s">
        <v>45</v>
      </c>
      <c r="F24" t="s">
        <v>54</v>
      </c>
      <c r="G24" t="str">
        <f>IF(ISBLANK(Table1[[#This Row],[State]]),"Unknown",Table1[[#This Row],[State]])</f>
        <v>Uttar Pradesh</v>
      </c>
      <c r="H24" t="s">
        <v>9</v>
      </c>
      <c r="I24" t="s">
        <v>16</v>
      </c>
      <c r="J24" t="str">
        <f>IF(ISBLANK(Table1[[#This Row],[Product]]),"Unknown",Table1[[#This Row],[Product]])</f>
        <v>Lamp</v>
      </c>
      <c r="K24" s="3">
        <v>1</v>
      </c>
      <c r="L24" s="10">
        <v>299</v>
      </c>
      <c r="M24" t="s">
        <v>26</v>
      </c>
      <c r="N24" t="str">
        <f>IF(ISBLANK(Table1[[#This Row],[Payment method]]),"Unknown",Table1[[#This Row],[Payment method]])</f>
        <v>Card</v>
      </c>
      <c r="O24" t="s">
        <v>17</v>
      </c>
      <c r="P24" t="str">
        <f>IF(Table1[[#This Row],[Unit price]]&gt;2000,"High Price","Standard Price")</f>
        <v>Standard Price</v>
      </c>
    </row>
    <row r="25" spans="1:16" x14ac:dyDescent="0.3">
      <c r="A25" s="3">
        <v>10024</v>
      </c>
      <c r="B25" s="1">
        <v>45733</v>
      </c>
      <c r="C25" s="3" t="s">
        <v>55</v>
      </c>
      <c r="D25" s="3" t="s">
        <v>43</v>
      </c>
      <c r="E25" t="s">
        <v>20</v>
      </c>
      <c r="F25" t="s">
        <v>20</v>
      </c>
      <c r="G25" t="str">
        <f>IF(ISBLANK(Table1[[#This Row],[State]]),"Unknown",Table1[[#This Row],[State]])</f>
        <v>Delhi</v>
      </c>
      <c r="H25" t="s">
        <v>33</v>
      </c>
      <c r="I25" t="s">
        <v>49</v>
      </c>
      <c r="J25" t="str">
        <f>IF(ISBLANK(Table1[[#This Row],[Product]]),"Unknown",Table1[[#This Row],[Product]])</f>
        <v>Keyboard</v>
      </c>
      <c r="K25" s="3">
        <v>5</v>
      </c>
      <c r="L25" s="10">
        <v>299</v>
      </c>
      <c r="M25" t="s">
        <v>11</v>
      </c>
      <c r="N25" t="str">
        <f>IF(ISBLANK(Table1[[#This Row],[Payment method]]),"Unknown",Table1[[#This Row],[Payment method]])</f>
        <v>Cash on Delivery</v>
      </c>
      <c r="O25" t="s">
        <v>12</v>
      </c>
      <c r="P25" t="str">
        <f>IF(Table1[[#This Row],[Unit price]]&gt;2000,"High Price","Standard Price")</f>
        <v>Standard Price</v>
      </c>
    </row>
    <row r="26" spans="1:16" x14ac:dyDescent="0.3">
      <c r="A26" s="3">
        <v>10025</v>
      </c>
      <c r="B26" s="1">
        <v>45732</v>
      </c>
      <c r="C26" s="3" t="s">
        <v>56</v>
      </c>
      <c r="D26" s="3" t="s">
        <v>57</v>
      </c>
      <c r="E26" t="s">
        <v>8</v>
      </c>
      <c r="F26" t="s">
        <v>52</v>
      </c>
      <c r="G26" t="str">
        <f>IF(ISBLANK(Table1[[#This Row],[State]]),"Unknown",Table1[[#This Row],[State]])</f>
        <v>Karnataka</v>
      </c>
      <c r="H26" t="s">
        <v>2</v>
      </c>
      <c r="I26" t="s">
        <v>24</v>
      </c>
      <c r="J26" t="str">
        <f>IF(ISBLANK(Table1[[#This Row],[Product]]),"Unknown",Table1[[#This Row],[Product]])</f>
        <v>Jeans</v>
      </c>
      <c r="K26" s="3">
        <v>2</v>
      </c>
      <c r="L26" s="10">
        <v>1299</v>
      </c>
      <c r="M26" t="s">
        <v>26</v>
      </c>
      <c r="N26" t="str">
        <f>IF(ISBLANK(Table1[[#This Row],[Payment method]]),"Unknown",Table1[[#This Row],[Payment method]])</f>
        <v>Card</v>
      </c>
      <c r="O26" t="s">
        <v>58</v>
      </c>
      <c r="P26" t="str">
        <f>IF(Table1[[#This Row],[Unit price]]&gt;2000,"High Price","Standard Price")</f>
        <v>Standard Price</v>
      </c>
    </row>
    <row r="27" spans="1:16" x14ac:dyDescent="0.3">
      <c r="A27" s="3">
        <v>10026</v>
      </c>
      <c r="B27" s="1">
        <v>45831</v>
      </c>
      <c r="C27" s="3" t="s">
        <v>59</v>
      </c>
      <c r="D27" s="3" t="s">
        <v>23</v>
      </c>
      <c r="E27" t="s">
        <v>45</v>
      </c>
      <c r="F27" t="s">
        <v>54</v>
      </c>
      <c r="G27" t="str">
        <f>IF(ISBLANK(Table1[[#This Row],[State]]),"Unknown",Table1[[#This Row],[State]])</f>
        <v>Uttar Pradesh</v>
      </c>
      <c r="H27" t="s">
        <v>33</v>
      </c>
      <c r="I27" t="s">
        <v>37</v>
      </c>
      <c r="J27" t="str">
        <f>IF(ISBLANK(Table1[[#This Row],[Product]]),"Unknown",Table1[[#This Row],[Product]])</f>
        <v>Mouse</v>
      </c>
      <c r="K27" s="3">
        <v>3</v>
      </c>
      <c r="L27" s="10">
        <v>299</v>
      </c>
      <c r="M27" t="s">
        <v>4</v>
      </c>
      <c r="N27" t="str">
        <f>IF(ISBLANK(Table1[[#This Row],[Payment method]]),"Unknown",Table1[[#This Row],[Payment method]])</f>
        <v>Net Banking</v>
      </c>
      <c r="O27" t="s">
        <v>17</v>
      </c>
      <c r="P27" t="str">
        <f>IF(Table1[[#This Row],[Unit price]]&gt;2000,"High Price","Standard Price")</f>
        <v>Standard Price</v>
      </c>
    </row>
    <row r="28" spans="1:16" x14ac:dyDescent="0.3">
      <c r="A28" s="3">
        <v>10027</v>
      </c>
      <c r="B28" s="1">
        <v>45746</v>
      </c>
      <c r="C28" s="3" t="s">
        <v>60</v>
      </c>
      <c r="D28" s="3" t="s">
        <v>43</v>
      </c>
      <c r="E28" t="s">
        <v>35</v>
      </c>
      <c r="F28" t="s">
        <v>15</v>
      </c>
      <c r="G28" t="str">
        <f>IF(ISBLANK(Table1[[#This Row],[State]]),"Unknown",Table1[[#This Row],[State]])</f>
        <v>Maharashtra</v>
      </c>
      <c r="H28" t="s">
        <v>9</v>
      </c>
      <c r="I28" t="s">
        <v>10</v>
      </c>
      <c r="J28" t="str">
        <f>IF(ISBLANK(Table1[[#This Row],[Product]]),"Unknown",Table1[[#This Row],[Product]])</f>
        <v>Chair</v>
      </c>
      <c r="K28" s="3">
        <v>3</v>
      </c>
      <c r="L28" s="10">
        <v>1999</v>
      </c>
      <c r="M28" t="s">
        <v>26</v>
      </c>
      <c r="N28" t="str">
        <f>IF(ISBLANK(Table1[[#This Row],[Payment method]]),"Unknown",Table1[[#This Row],[Payment method]])</f>
        <v>Card</v>
      </c>
      <c r="O28" t="s">
        <v>5</v>
      </c>
      <c r="P28" t="str">
        <f>IF(Table1[[#This Row],[Unit price]]&gt;2000,"High Price","Standard Price")</f>
        <v>Standard Price</v>
      </c>
    </row>
    <row r="29" spans="1:16" x14ac:dyDescent="0.3">
      <c r="A29" s="3">
        <v>10028</v>
      </c>
      <c r="B29" s="1">
        <v>45772</v>
      </c>
      <c r="C29" s="3" t="s">
        <v>61</v>
      </c>
      <c r="D29" s="3" t="s">
        <v>39</v>
      </c>
      <c r="E29" t="s">
        <v>45</v>
      </c>
      <c r="F29" t="s">
        <v>54</v>
      </c>
      <c r="G29" t="str">
        <f>IF(ISBLANK(Table1[[#This Row],[State]]),"Unknown",Table1[[#This Row],[State]])</f>
        <v>Uttar Pradesh</v>
      </c>
      <c r="H29" t="s">
        <v>33</v>
      </c>
      <c r="I29" t="s">
        <v>49</v>
      </c>
      <c r="J29" t="str">
        <f>IF(ISBLANK(Table1[[#This Row],[Product]]),"Unknown",Table1[[#This Row],[Product]])</f>
        <v>Keyboard</v>
      </c>
      <c r="K29" s="3">
        <v>4</v>
      </c>
      <c r="L29" s="10">
        <v>299</v>
      </c>
      <c r="N29" t="str">
        <f>IF(ISBLANK(Table1[[#This Row],[Payment method]]),"Unknown",Table1[[#This Row],[Payment method]])</f>
        <v>Unknown</v>
      </c>
      <c r="O29" t="s">
        <v>5</v>
      </c>
      <c r="P29" t="str">
        <f>IF(Table1[[#This Row],[Unit price]]&gt;2000,"High Price","Standard Price")</f>
        <v>Standard Price</v>
      </c>
    </row>
    <row r="30" spans="1:16" x14ac:dyDescent="0.3">
      <c r="A30" s="3">
        <v>10029</v>
      </c>
      <c r="B30" s="1">
        <v>45873</v>
      </c>
      <c r="C30" s="3" t="s">
        <v>62</v>
      </c>
      <c r="D30" s="3" t="s">
        <v>39</v>
      </c>
      <c r="E30" t="s">
        <v>8</v>
      </c>
      <c r="F30" t="s">
        <v>52</v>
      </c>
      <c r="G30" t="str">
        <f>IF(ISBLANK(Table1[[#This Row],[State]]),"Unknown",Table1[[#This Row],[State]])</f>
        <v>Karnataka</v>
      </c>
      <c r="H30" t="s">
        <v>2</v>
      </c>
      <c r="I30" t="s">
        <v>3</v>
      </c>
      <c r="J30" t="str">
        <f>IF(ISBLANK(Table1[[#This Row],[Product]]),"Unknown",Table1[[#This Row],[Product]])</f>
        <v>T-Shirt</v>
      </c>
      <c r="K30" s="3">
        <v>2</v>
      </c>
      <c r="L30" s="10">
        <v>1999</v>
      </c>
      <c r="N30" t="str">
        <f>IF(ISBLANK(Table1[[#This Row],[Payment method]]),"Unknown",Table1[[#This Row],[Payment method]])</f>
        <v>Unknown</v>
      </c>
      <c r="O30" t="s">
        <v>5</v>
      </c>
      <c r="P30" t="str">
        <f>IF(Table1[[#This Row],[Unit price]]&gt;2000,"High Price","Standard Price")</f>
        <v>Standard Price</v>
      </c>
    </row>
    <row r="31" spans="1:16" x14ac:dyDescent="0.3">
      <c r="A31" s="3">
        <v>10030</v>
      </c>
      <c r="B31" s="1">
        <v>45663</v>
      </c>
      <c r="C31" s="3" t="s">
        <v>48</v>
      </c>
      <c r="D31" s="3" t="s">
        <v>14</v>
      </c>
      <c r="E31" t="s">
        <v>8</v>
      </c>
      <c r="F31" t="s">
        <v>52</v>
      </c>
      <c r="G31" t="str">
        <f>IF(ISBLANK(Table1[[#This Row],[State]]),"Unknown",Table1[[#This Row],[State]])</f>
        <v>Karnataka</v>
      </c>
      <c r="H31" t="s">
        <v>33</v>
      </c>
      <c r="I31" t="s">
        <v>37</v>
      </c>
      <c r="J31" t="str">
        <f>IF(ISBLANK(Table1[[#This Row],[Product]]),"Unknown",Table1[[#This Row],[Product]])</f>
        <v>Mouse</v>
      </c>
      <c r="K31" s="3">
        <v>2</v>
      </c>
      <c r="L31" s="10">
        <v>1299</v>
      </c>
      <c r="N31" t="str">
        <f>IF(ISBLANK(Table1[[#This Row],[Payment method]]),"Unknown",Table1[[#This Row],[Payment method]])</f>
        <v>Unknown</v>
      </c>
      <c r="O31" t="s">
        <v>12</v>
      </c>
      <c r="P31" t="str">
        <f>IF(Table1[[#This Row],[Unit price]]&gt;2000,"High Price","Standard Price")</f>
        <v>Standard Price</v>
      </c>
    </row>
    <row r="32" spans="1:16" x14ac:dyDescent="0.3">
      <c r="A32" s="3">
        <v>10031</v>
      </c>
      <c r="B32" s="1">
        <v>45798</v>
      </c>
      <c r="C32" s="3" t="s">
        <v>63</v>
      </c>
      <c r="D32" s="3" t="s">
        <v>57</v>
      </c>
      <c r="E32" t="s">
        <v>32</v>
      </c>
      <c r="F32" t="s">
        <v>36</v>
      </c>
      <c r="G32" t="str">
        <f>IF(ISBLANK(Table1[[#This Row],[State]]),"Unknown",Table1[[#This Row],[State]])</f>
        <v>Maharastra</v>
      </c>
      <c r="H32" t="s">
        <v>9</v>
      </c>
      <c r="I32" t="s">
        <v>16</v>
      </c>
      <c r="J32" t="str">
        <f>IF(ISBLANK(Table1[[#This Row],[Product]]),"Unknown",Table1[[#This Row],[Product]])</f>
        <v>Lamp</v>
      </c>
      <c r="K32" s="3">
        <v>3</v>
      </c>
      <c r="L32" s="10">
        <v>299</v>
      </c>
      <c r="N32" t="str">
        <f>IF(ISBLANK(Table1[[#This Row],[Payment method]]),"Unknown",Table1[[#This Row],[Payment method]])</f>
        <v>Unknown</v>
      </c>
      <c r="O32" t="s">
        <v>12</v>
      </c>
      <c r="P32" t="str">
        <f>IF(Table1[[#This Row],[Unit price]]&gt;2000,"High Price","Standard Price")</f>
        <v>Standard Price</v>
      </c>
    </row>
    <row r="33" spans="1:16" x14ac:dyDescent="0.3">
      <c r="A33" s="3">
        <v>10032</v>
      </c>
      <c r="B33" s="1">
        <v>45735</v>
      </c>
      <c r="C33" s="3" t="s">
        <v>64</v>
      </c>
      <c r="D33" s="3" t="s">
        <v>43</v>
      </c>
      <c r="E33" t="s">
        <v>20</v>
      </c>
      <c r="F33" t="s">
        <v>20</v>
      </c>
      <c r="G33" t="str">
        <f>IF(ISBLANK(Table1[[#This Row],[State]]),"Unknown",Table1[[#This Row],[State]])</f>
        <v>Delhi</v>
      </c>
      <c r="H33" t="s">
        <v>9</v>
      </c>
      <c r="I33" t="s">
        <v>10</v>
      </c>
      <c r="J33" t="str">
        <f>IF(ISBLANK(Table1[[#This Row],[Product]]),"Unknown",Table1[[#This Row],[Product]])</f>
        <v>Chair</v>
      </c>
      <c r="K33" s="3">
        <v>2</v>
      </c>
      <c r="L33" s="10">
        <v>499</v>
      </c>
      <c r="N33" t="str">
        <f>IF(ISBLANK(Table1[[#This Row],[Payment method]]),"Unknown",Table1[[#This Row],[Payment method]])</f>
        <v>Unknown</v>
      </c>
      <c r="O33" t="s">
        <v>5</v>
      </c>
      <c r="P33" t="str">
        <f>IF(Table1[[#This Row],[Unit price]]&gt;2000,"High Price","Standard Price")</f>
        <v>Standard Price</v>
      </c>
    </row>
    <row r="34" spans="1:16" x14ac:dyDescent="0.3">
      <c r="A34" s="3">
        <v>10033</v>
      </c>
      <c r="B34" s="1">
        <v>45808</v>
      </c>
      <c r="C34" s="3" t="s">
        <v>65</v>
      </c>
      <c r="D34" s="3" t="s">
        <v>1</v>
      </c>
      <c r="E34" t="s">
        <v>247</v>
      </c>
      <c r="F34" t="s">
        <v>36</v>
      </c>
      <c r="G34" t="str">
        <f>IF(ISBLANK(Table1[[#This Row],[State]]),"Unknown",Table1[[#This Row],[State]])</f>
        <v>Maharastra</v>
      </c>
      <c r="H34" t="s">
        <v>9</v>
      </c>
      <c r="I34" t="s">
        <v>16</v>
      </c>
      <c r="J34" t="str">
        <f>IF(ISBLANK(Table1[[#This Row],[Product]]),"Unknown",Table1[[#This Row],[Product]])</f>
        <v>Lamp</v>
      </c>
      <c r="K34" s="3">
        <v>3</v>
      </c>
      <c r="L34" s="10">
        <v>1999</v>
      </c>
      <c r="M34" t="s">
        <v>4</v>
      </c>
      <c r="N34" t="str">
        <f>IF(ISBLANK(Table1[[#This Row],[Payment method]]),"Unknown",Table1[[#This Row],[Payment method]])</f>
        <v>Net Banking</v>
      </c>
      <c r="O34" t="s">
        <v>58</v>
      </c>
      <c r="P34" t="str">
        <f>IF(Table1[[#This Row],[Unit price]]&gt;2000,"High Price","Standard Price")</f>
        <v>Standard Price</v>
      </c>
    </row>
    <row r="35" spans="1:16" x14ac:dyDescent="0.3">
      <c r="A35" s="3">
        <v>10034</v>
      </c>
      <c r="B35" s="1">
        <v>45747</v>
      </c>
      <c r="C35" s="3" t="s">
        <v>66</v>
      </c>
      <c r="D35" s="3" t="s">
        <v>57</v>
      </c>
      <c r="E35" t="s">
        <v>32</v>
      </c>
      <c r="F35" t="s">
        <v>36</v>
      </c>
      <c r="G35" t="str">
        <f>IF(ISBLANK(Table1[[#This Row],[State]]),"Unknown",Table1[[#This Row],[State]])</f>
        <v>Maharastra</v>
      </c>
      <c r="H35" t="s">
        <v>9</v>
      </c>
      <c r="I35" t="s">
        <v>16</v>
      </c>
      <c r="J35" t="str">
        <f>IF(ISBLANK(Table1[[#This Row],[Product]]),"Unknown",Table1[[#This Row],[Product]])</f>
        <v>Lamp</v>
      </c>
      <c r="K35" s="3">
        <v>3</v>
      </c>
      <c r="L35" s="10">
        <v>1999</v>
      </c>
      <c r="N35" t="str">
        <f>IF(ISBLANK(Table1[[#This Row],[Payment method]]),"Unknown",Table1[[#This Row],[Payment method]])</f>
        <v>Unknown</v>
      </c>
      <c r="O35" t="s">
        <v>12</v>
      </c>
      <c r="P35" t="str">
        <f>IF(Table1[[#This Row],[Unit price]]&gt;2000,"High Price","Standard Price")</f>
        <v>Standard Price</v>
      </c>
    </row>
    <row r="36" spans="1:16" x14ac:dyDescent="0.3">
      <c r="A36" s="3">
        <v>10035</v>
      </c>
      <c r="B36" s="1">
        <v>45799</v>
      </c>
      <c r="C36" s="3" t="s">
        <v>67</v>
      </c>
      <c r="D36" s="3" t="s">
        <v>43</v>
      </c>
      <c r="E36" t="s">
        <v>32</v>
      </c>
      <c r="F36" t="s">
        <v>15</v>
      </c>
      <c r="G36" t="str">
        <f>IF(ISBLANK(Table1[[#This Row],[State]]),"Unknown",Table1[[#This Row],[State]])</f>
        <v>Maharashtra</v>
      </c>
      <c r="H36" t="s">
        <v>9</v>
      </c>
      <c r="I36" t="s">
        <v>10</v>
      </c>
      <c r="J36" t="str">
        <f>IF(ISBLANK(Table1[[#This Row],[Product]]),"Unknown",Table1[[#This Row],[Product]])</f>
        <v>Chair</v>
      </c>
      <c r="K36" s="3">
        <v>2</v>
      </c>
      <c r="L36" s="10">
        <v>799</v>
      </c>
      <c r="M36" t="s">
        <v>11</v>
      </c>
      <c r="N36" t="str">
        <f>IF(ISBLANK(Table1[[#This Row],[Payment method]]),"Unknown",Table1[[#This Row],[Payment method]])</f>
        <v>Cash on Delivery</v>
      </c>
      <c r="O36" t="s">
        <v>12</v>
      </c>
      <c r="P36" t="str">
        <f>IF(Table1[[#This Row],[Unit price]]&gt;2000,"High Price","Standard Price")</f>
        <v>Standard Price</v>
      </c>
    </row>
    <row r="37" spans="1:16" x14ac:dyDescent="0.3">
      <c r="A37" s="3">
        <v>10036</v>
      </c>
      <c r="B37" s="1">
        <v>45740</v>
      </c>
      <c r="C37" s="3" t="s">
        <v>68</v>
      </c>
      <c r="D37" s="3" t="s">
        <v>39</v>
      </c>
      <c r="E37" t="s">
        <v>20</v>
      </c>
      <c r="F37" t="s">
        <v>20</v>
      </c>
      <c r="G37" t="str">
        <f>IF(ISBLANK(Table1[[#This Row],[State]]),"Unknown",Table1[[#This Row],[State]])</f>
        <v>Delhi</v>
      </c>
      <c r="H37" t="s">
        <v>33</v>
      </c>
      <c r="J37" t="str">
        <f>IF(ISBLANK(Table1[[#This Row],[Product]]),"Unknown",Table1[[#This Row],[Product]])</f>
        <v>Unknown</v>
      </c>
      <c r="K37" s="3">
        <v>3</v>
      </c>
      <c r="L37" s="10">
        <v>299</v>
      </c>
      <c r="N37" t="str">
        <f>IF(ISBLANK(Table1[[#This Row],[Payment method]]),"Unknown",Table1[[#This Row],[Payment method]])</f>
        <v>Unknown</v>
      </c>
      <c r="O37" t="s">
        <v>17</v>
      </c>
      <c r="P37" t="str">
        <f>IF(Table1[[#This Row],[Unit price]]&gt;2000,"High Price","Standard Price")</f>
        <v>Standard Price</v>
      </c>
    </row>
    <row r="38" spans="1:16" x14ac:dyDescent="0.3">
      <c r="A38" s="3">
        <v>10037</v>
      </c>
      <c r="B38" s="1">
        <v>45679</v>
      </c>
      <c r="C38" s="3" t="s">
        <v>69</v>
      </c>
      <c r="D38" s="3" t="s">
        <v>39</v>
      </c>
      <c r="E38" t="s">
        <v>45</v>
      </c>
      <c r="F38" t="s">
        <v>54</v>
      </c>
      <c r="G38" t="str">
        <f>IF(ISBLANK(Table1[[#This Row],[State]]),"Unknown",Table1[[#This Row],[State]])</f>
        <v>Uttar Pradesh</v>
      </c>
      <c r="H38" t="s">
        <v>2</v>
      </c>
      <c r="I38" t="s">
        <v>24</v>
      </c>
      <c r="J38" t="str">
        <f>IF(ISBLANK(Table1[[#This Row],[Product]]),"Unknown",Table1[[#This Row],[Product]])</f>
        <v>Jeans</v>
      </c>
      <c r="K38" s="3">
        <v>2</v>
      </c>
      <c r="L38" s="10">
        <v>799</v>
      </c>
      <c r="N38" t="str">
        <f>IF(ISBLANK(Table1[[#This Row],[Payment method]]),"Unknown",Table1[[#This Row],[Payment method]])</f>
        <v>Unknown</v>
      </c>
      <c r="O38" t="s">
        <v>5</v>
      </c>
      <c r="P38" t="str">
        <f>IF(Table1[[#This Row],[Unit price]]&gt;2000,"High Price","Standard Price")</f>
        <v>Standard Price</v>
      </c>
    </row>
    <row r="39" spans="1:16" x14ac:dyDescent="0.3">
      <c r="A39" s="3">
        <v>10038</v>
      </c>
      <c r="B39" s="1">
        <v>45810</v>
      </c>
      <c r="C39" s="3" t="s">
        <v>70</v>
      </c>
      <c r="D39" s="3" t="s">
        <v>43</v>
      </c>
      <c r="E39" t="s">
        <v>20</v>
      </c>
      <c r="F39" t="s">
        <v>20</v>
      </c>
      <c r="G39" t="str">
        <f>IF(ISBLANK(Table1[[#This Row],[State]]),"Unknown",Table1[[#This Row],[State]])</f>
        <v>Delhi</v>
      </c>
      <c r="H39" t="s">
        <v>33</v>
      </c>
      <c r="I39" t="s">
        <v>21</v>
      </c>
      <c r="J39" t="str">
        <f>IF(ISBLANK(Table1[[#This Row],[Product]]),"Unknown",Table1[[#This Row],[Product]])</f>
        <v>Headphones</v>
      </c>
      <c r="K39" s="3">
        <v>1</v>
      </c>
      <c r="L39" s="10">
        <v>799</v>
      </c>
      <c r="M39" t="s">
        <v>26</v>
      </c>
      <c r="N39" t="str">
        <f>IF(ISBLANK(Table1[[#This Row],[Payment method]]),"Unknown",Table1[[#This Row],[Payment method]])</f>
        <v>Card</v>
      </c>
      <c r="O39" t="s">
        <v>58</v>
      </c>
      <c r="P39" t="str">
        <f>IF(Table1[[#This Row],[Unit price]]&gt;2000,"High Price","Standard Price")</f>
        <v>Standard Price</v>
      </c>
    </row>
    <row r="40" spans="1:16" x14ac:dyDescent="0.3">
      <c r="A40" s="3">
        <v>10039</v>
      </c>
      <c r="B40" s="1">
        <v>45775</v>
      </c>
      <c r="C40" s="3" t="s">
        <v>71</v>
      </c>
      <c r="D40" s="3" t="s">
        <v>14</v>
      </c>
      <c r="E40" t="s">
        <v>20</v>
      </c>
      <c r="F40" t="s">
        <v>20</v>
      </c>
      <c r="G40" t="str">
        <f>IF(ISBLANK(Table1[[#This Row],[State]]),"Unknown",Table1[[#This Row],[State]])</f>
        <v>Delhi</v>
      </c>
      <c r="H40" t="s">
        <v>33</v>
      </c>
      <c r="I40" t="s">
        <v>49</v>
      </c>
      <c r="J40" t="str">
        <f>IF(ISBLANK(Table1[[#This Row],[Product]]),"Unknown",Table1[[#This Row],[Product]])</f>
        <v>Keyboard</v>
      </c>
      <c r="K40" s="3">
        <v>3</v>
      </c>
      <c r="L40" s="10">
        <v>799</v>
      </c>
      <c r="N40" t="str">
        <f>IF(ISBLANK(Table1[[#This Row],[Payment method]]),"Unknown",Table1[[#This Row],[Payment method]])</f>
        <v>Unknown</v>
      </c>
      <c r="O40" t="s">
        <v>5</v>
      </c>
      <c r="P40" t="str">
        <f>IF(Table1[[#This Row],[Unit price]]&gt;2000,"High Price","Standard Price")</f>
        <v>Standard Price</v>
      </c>
    </row>
    <row r="41" spans="1:16" x14ac:dyDescent="0.3">
      <c r="A41" s="3">
        <v>10040</v>
      </c>
      <c r="B41" s="1">
        <v>45686</v>
      </c>
      <c r="C41" s="3" t="s">
        <v>72</v>
      </c>
      <c r="D41" s="3" t="s">
        <v>23</v>
      </c>
      <c r="E41" t="s">
        <v>35</v>
      </c>
      <c r="F41" t="s">
        <v>15</v>
      </c>
      <c r="G41" t="str">
        <f>IF(ISBLANK(Table1[[#This Row],[State]]),"Unknown",Table1[[#This Row],[State]])</f>
        <v>Maharashtra</v>
      </c>
      <c r="H41" t="s">
        <v>2</v>
      </c>
      <c r="I41" t="s">
        <v>3</v>
      </c>
      <c r="J41" t="str">
        <f>IF(ISBLANK(Table1[[#This Row],[Product]]),"Unknown",Table1[[#This Row],[Product]])</f>
        <v>T-Shirt</v>
      </c>
      <c r="K41" s="3">
        <v>3</v>
      </c>
      <c r="L41" s="10">
        <v>1999</v>
      </c>
      <c r="M41" t="s">
        <v>26</v>
      </c>
      <c r="N41" t="str">
        <f>IF(ISBLANK(Table1[[#This Row],[Payment method]]),"Unknown",Table1[[#This Row],[Payment method]])</f>
        <v>Card</v>
      </c>
      <c r="O41" t="s">
        <v>58</v>
      </c>
      <c r="P41" t="str">
        <f>IF(Table1[[#This Row],[Unit price]]&gt;2000,"High Price","Standard Price")</f>
        <v>Standard Price</v>
      </c>
    </row>
    <row r="42" spans="1:16" x14ac:dyDescent="0.3">
      <c r="A42" s="3">
        <v>10041</v>
      </c>
      <c r="B42" s="1">
        <v>45725</v>
      </c>
      <c r="C42" s="3" t="s">
        <v>73</v>
      </c>
      <c r="D42" s="3" t="s">
        <v>7</v>
      </c>
      <c r="E42" t="s">
        <v>247</v>
      </c>
      <c r="F42" t="s">
        <v>15</v>
      </c>
      <c r="G42" t="str">
        <f>IF(ISBLANK(Table1[[#This Row],[State]]),"Unknown",Table1[[#This Row],[State]])</f>
        <v>Maharashtra</v>
      </c>
      <c r="H42" t="s">
        <v>2</v>
      </c>
      <c r="I42" t="s">
        <v>24</v>
      </c>
      <c r="J42" t="str">
        <f>IF(ISBLANK(Table1[[#This Row],[Product]]),"Unknown",Table1[[#This Row],[Product]])</f>
        <v>Jeans</v>
      </c>
      <c r="K42" s="3">
        <v>4</v>
      </c>
      <c r="L42" s="10">
        <v>799</v>
      </c>
      <c r="M42" t="s">
        <v>11</v>
      </c>
      <c r="N42" t="str">
        <f>IF(ISBLANK(Table1[[#This Row],[Payment method]]),"Unknown",Table1[[#This Row],[Payment method]])</f>
        <v>Cash on Delivery</v>
      </c>
      <c r="O42" t="s">
        <v>5</v>
      </c>
      <c r="P42" t="str">
        <f>IF(Table1[[#This Row],[Unit price]]&gt;2000,"High Price","Standard Price")</f>
        <v>Standard Price</v>
      </c>
    </row>
    <row r="43" spans="1:16" x14ac:dyDescent="0.3">
      <c r="A43" s="3">
        <v>10042</v>
      </c>
      <c r="B43" s="1">
        <v>45777</v>
      </c>
      <c r="C43" s="3" t="s">
        <v>74</v>
      </c>
      <c r="D43" s="3" t="s">
        <v>23</v>
      </c>
      <c r="E43" t="s">
        <v>20</v>
      </c>
      <c r="F43" t="s">
        <v>20</v>
      </c>
      <c r="G43" t="str">
        <f>IF(ISBLANK(Table1[[#This Row],[State]]),"Unknown",Table1[[#This Row],[State]])</f>
        <v>Delhi</v>
      </c>
      <c r="H43" t="s">
        <v>33</v>
      </c>
      <c r="I43" t="s">
        <v>49</v>
      </c>
      <c r="J43" t="str">
        <f>IF(ISBLANK(Table1[[#This Row],[Product]]),"Unknown",Table1[[#This Row],[Product]])</f>
        <v>Keyboard</v>
      </c>
      <c r="K43" s="3">
        <v>2</v>
      </c>
      <c r="L43" s="10">
        <v>799</v>
      </c>
      <c r="M43" t="s">
        <v>4</v>
      </c>
      <c r="N43" t="str">
        <f>IF(ISBLANK(Table1[[#This Row],[Payment method]]),"Unknown",Table1[[#This Row],[Payment method]])</f>
        <v>Net Banking</v>
      </c>
      <c r="O43" t="s">
        <v>12</v>
      </c>
      <c r="P43" t="str">
        <f>IF(Table1[[#This Row],[Unit price]]&gt;2000,"High Price","Standard Price")</f>
        <v>Standard Price</v>
      </c>
    </row>
    <row r="44" spans="1:16" x14ac:dyDescent="0.3">
      <c r="A44" s="3">
        <v>10043</v>
      </c>
      <c r="B44" s="1">
        <v>45829</v>
      </c>
      <c r="C44" s="3" t="s">
        <v>61</v>
      </c>
      <c r="D44" s="3" t="s">
        <v>14</v>
      </c>
      <c r="E44" t="s">
        <v>45</v>
      </c>
      <c r="F44" t="s">
        <v>54</v>
      </c>
      <c r="G44" t="str">
        <f>IF(ISBLANK(Table1[[#This Row],[State]]),"Unknown",Table1[[#This Row],[State]])</f>
        <v>Uttar Pradesh</v>
      </c>
      <c r="H44" t="s">
        <v>9</v>
      </c>
      <c r="I44" t="s">
        <v>16</v>
      </c>
      <c r="J44" t="str">
        <f>IF(ISBLANK(Table1[[#This Row],[Product]]),"Unknown",Table1[[#This Row],[Product]])</f>
        <v>Lamp</v>
      </c>
      <c r="K44" s="3">
        <v>5</v>
      </c>
      <c r="L44" s="10">
        <v>1999</v>
      </c>
      <c r="M44" t="s">
        <v>26</v>
      </c>
      <c r="N44" t="str">
        <f>IF(ISBLANK(Table1[[#This Row],[Payment method]]),"Unknown",Table1[[#This Row],[Payment method]])</f>
        <v>Card</v>
      </c>
      <c r="O44" t="s">
        <v>17</v>
      </c>
      <c r="P44" t="str">
        <f>IF(Table1[[#This Row],[Unit price]]&gt;2000,"High Price","Standard Price")</f>
        <v>Standard Price</v>
      </c>
    </row>
    <row r="45" spans="1:16" x14ac:dyDescent="0.3">
      <c r="A45" s="3">
        <v>10044</v>
      </c>
      <c r="B45" s="1">
        <v>45808</v>
      </c>
      <c r="C45" s="3" t="s">
        <v>75</v>
      </c>
      <c r="D45" s="3" t="s">
        <v>7</v>
      </c>
      <c r="E45" t="s">
        <v>8</v>
      </c>
      <c r="F45" t="s">
        <v>52</v>
      </c>
      <c r="G45" t="str">
        <f>IF(ISBLANK(Table1[[#This Row],[State]]),"Unknown",Table1[[#This Row],[State]])</f>
        <v>Karnataka</v>
      </c>
      <c r="H45" t="s">
        <v>9</v>
      </c>
      <c r="I45" t="s">
        <v>10</v>
      </c>
      <c r="J45" t="str">
        <f>IF(ISBLANK(Table1[[#This Row],[Product]]),"Unknown",Table1[[#This Row],[Product]])</f>
        <v>Chair</v>
      </c>
      <c r="K45" s="3">
        <v>5</v>
      </c>
      <c r="L45" s="10">
        <v>1299</v>
      </c>
      <c r="N45" t="str">
        <f>IF(ISBLANK(Table1[[#This Row],[Payment method]]),"Unknown",Table1[[#This Row],[Payment method]])</f>
        <v>Unknown</v>
      </c>
      <c r="O45" t="s">
        <v>12</v>
      </c>
      <c r="P45" t="str">
        <f>IF(Table1[[#This Row],[Unit price]]&gt;2000,"High Price","Standard Price")</f>
        <v>Standard Price</v>
      </c>
    </row>
    <row r="46" spans="1:16" x14ac:dyDescent="0.3">
      <c r="A46" s="3">
        <v>10045</v>
      </c>
      <c r="B46" s="1">
        <v>45718</v>
      </c>
      <c r="C46" s="3" t="s">
        <v>76</v>
      </c>
      <c r="D46" s="3" t="s">
        <v>43</v>
      </c>
      <c r="E46" t="s">
        <v>248</v>
      </c>
      <c r="F46" t="s">
        <v>52</v>
      </c>
      <c r="G46" t="str">
        <f>IF(ISBLANK(Table1[[#This Row],[State]]),"Unknown",Table1[[#This Row],[State]])</f>
        <v>Karnataka</v>
      </c>
      <c r="H46" t="s">
        <v>2</v>
      </c>
      <c r="I46" t="s">
        <v>3</v>
      </c>
      <c r="J46" t="str">
        <f>IF(ISBLANK(Table1[[#This Row],[Product]]),"Unknown",Table1[[#This Row],[Product]])</f>
        <v>T-Shirt</v>
      </c>
      <c r="K46" s="3">
        <v>4</v>
      </c>
      <c r="L46" s="10">
        <v>299</v>
      </c>
      <c r="N46" t="str">
        <f>IF(ISBLANK(Table1[[#This Row],[Payment method]]),"Unknown",Table1[[#This Row],[Payment method]])</f>
        <v>Unknown</v>
      </c>
      <c r="O46" t="s">
        <v>5</v>
      </c>
      <c r="P46" t="str">
        <f>IF(Table1[[#This Row],[Unit price]]&gt;2000,"High Price","Standard Price")</f>
        <v>Standard Price</v>
      </c>
    </row>
    <row r="47" spans="1:16" x14ac:dyDescent="0.3">
      <c r="A47" s="3">
        <v>10046</v>
      </c>
      <c r="B47" s="1">
        <v>45739</v>
      </c>
      <c r="C47" s="3" t="s">
        <v>77</v>
      </c>
      <c r="D47" s="3" t="s">
        <v>19</v>
      </c>
      <c r="E47" t="s">
        <v>248</v>
      </c>
      <c r="F47" t="s">
        <v>52</v>
      </c>
      <c r="G47" t="str">
        <f>IF(ISBLANK(Table1[[#This Row],[State]]),"Unknown",Table1[[#This Row],[State]])</f>
        <v>Karnataka</v>
      </c>
      <c r="H47" t="s">
        <v>2</v>
      </c>
      <c r="I47" t="s">
        <v>3</v>
      </c>
      <c r="J47" t="str">
        <f>IF(ISBLANK(Table1[[#This Row],[Product]]),"Unknown",Table1[[#This Row],[Product]])</f>
        <v>T-Shirt</v>
      </c>
      <c r="K47" s="3">
        <v>5</v>
      </c>
      <c r="L47" s="10">
        <v>1999</v>
      </c>
      <c r="N47" t="str">
        <f>IF(ISBLANK(Table1[[#This Row],[Payment method]]),"Unknown",Table1[[#This Row],[Payment method]])</f>
        <v>Unknown</v>
      </c>
      <c r="O47" t="s">
        <v>17</v>
      </c>
      <c r="P47" t="str">
        <f>IF(Table1[[#This Row],[Unit price]]&gt;2000,"High Price","Standard Price")</f>
        <v>Standard Price</v>
      </c>
    </row>
    <row r="48" spans="1:16" x14ac:dyDescent="0.3">
      <c r="A48" s="3">
        <v>10047</v>
      </c>
      <c r="B48" s="1">
        <v>45715</v>
      </c>
      <c r="C48" s="3" t="s">
        <v>78</v>
      </c>
      <c r="D48" s="3" t="s">
        <v>14</v>
      </c>
      <c r="E48" t="s">
        <v>248</v>
      </c>
      <c r="F48" t="s">
        <v>52</v>
      </c>
      <c r="G48" t="str">
        <f>IF(ISBLANK(Table1[[#This Row],[State]]),"Unknown",Table1[[#This Row],[State]])</f>
        <v>Karnataka</v>
      </c>
      <c r="H48" t="s">
        <v>2</v>
      </c>
      <c r="I48" t="s">
        <v>3</v>
      </c>
      <c r="J48" t="str">
        <f>IF(ISBLANK(Table1[[#This Row],[Product]]),"Unknown",Table1[[#This Row],[Product]])</f>
        <v>T-Shirt</v>
      </c>
      <c r="K48" s="3">
        <v>1</v>
      </c>
      <c r="L48" s="10">
        <v>999999</v>
      </c>
      <c r="M48" t="s">
        <v>4</v>
      </c>
      <c r="N48" t="str">
        <f>IF(ISBLANK(Table1[[#This Row],[Payment method]]),"Unknown",Table1[[#This Row],[Payment method]])</f>
        <v>Net Banking</v>
      </c>
      <c r="O48" t="s">
        <v>17</v>
      </c>
      <c r="P48" t="str">
        <f>IF(Table1[[#This Row],[Unit price]]&gt;2000,"High Price","Standard Price")</f>
        <v>High Price</v>
      </c>
    </row>
    <row r="49" spans="1:16" x14ac:dyDescent="0.3">
      <c r="A49" s="3">
        <v>10048</v>
      </c>
      <c r="B49" s="1">
        <v>45741</v>
      </c>
      <c r="C49" s="3" t="s">
        <v>79</v>
      </c>
      <c r="D49" s="3" t="s">
        <v>43</v>
      </c>
      <c r="E49" t="s">
        <v>8</v>
      </c>
      <c r="F49" t="s">
        <v>52</v>
      </c>
      <c r="G49" t="str">
        <f>IF(ISBLANK(Table1[[#This Row],[State]]),"Unknown",Table1[[#This Row],[State]])</f>
        <v>Karnataka</v>
      </c>
      <c r="H49" t="s">
        <v>33</v>
      </c>
      <c r="J49" t="str">
        <f>IF(ISBLANK(Table1[[#This Row],[Product]]),"Unknown",Table1[[#This Row],[Product]])</f>
        <v>Unknown</v>
      </c>
      <c r="K49" s="3">
        <v>5</v>
      </c>
      <c r="L49" s="10">
        <v>1299</v>
      </c>
      <c r="M49" t="s">
        <v>26</v>
      </c>
      <c r="N49" t="str">
        <f>IF(ISBLANK(Table1[[#This Row],[Payment method]]),"Unknown",Table1[[#This Row],[Payment method]])</f>
        <v>Card</v>
      </c>
      <c r="O49" t="s">
        <v>17</v>
      </c>
      <c r="P49" t="str">
        <f>IF(Table1[[#This Row],[Unit price]]&gt;2000,"High Price","Standard Price")</f>
        <v>Standard Price</v>
      </c>
    </row>
    <row r="50" spans="1:16" x14ac:dyDescent="0.3">
      <c r="A50" s="3">
        <v>10049</v>
      </c>
      <c r="B50" s="1">
        <v>45756</v>
      </c>
      <c r="C50" s="3" t="s">
        <v>80</v>
      </c>
      <c r="D50" s="3" t="s">
        <v>14</v>
      </c>
      <c r="E50" t="s">
        <v>32</v>
      </c>
      <c r="F50" t="s">
        <v>15</v>
      </c>
      <c r="G50" t="str">
        <f>IF(ISBLANK(Table1[[#This Row],[State]]),"Unknown",Table1[[#This Row],[State]])</f>
        <v>Maharashtra</v>
      </c>
      <c r="H50" t="s">
        <v>33</v>
      </c>
      <c r="I50" t="s">
        <v>21</v>
      </c>
      <c r="J50" t="str">
        <f>IF(ISBLANK(Table1[[#This Row],[Product]]),"Unknown",Table1[[#This Row],[Product]])</f>
        <v>Headphones</v>
      </c>
      <c r="K50" s="3">
        <v>1</v>
      </c>
      <c r="L50" s="10">
        <v>1299</v>
      </c>
      <c r="N50" t="str">
        <f>IF(ISBLANK(Table1[[#This Row],[Payment method]]),"Unknown",Table1[[#This Row],[Payment method]])</f>
        <v>Unknown</v>
      </c>
      <c r="O50" t="s">
        <v>58</v>
      </c>
      <c r="P50" t="str">
        <f>IF(Table1[[#This Row],[Unit price]]&gt;2000,"High Price","Standard Price")</f>
        <v>Standard Price</v>
      </c>
    </row>
    <row r="51" spans="1:16" x14ac:dyDescent="0.3">
      <c r="A51" s="3">
        <v>10050</v>
      </c>
      <c r="B51" s="1">
        <v>45834</v>
      </c>
      <c r="C51" s="3" t="s">
        <v>81</v>
      </c>
      <c r="D51" s="3" t="s">
        <v>39</v>
      </c>
      <c r="E51" t="s">
        <v>8</v>
      </c>
      <c r="F51" t="s">
        <v>52</v>
      </c>
      <c r="G51" t="str">
        <f>IF(ISBLANK(Table1[[#This Row],[State]]),"Unknown",Table1[[#This Row],[State]])</f>
        <v>Karnataka</v>
      </c>
      <c r="H51" t="s">
        <v>9</v>
      </c>
      <c r="I51" t="s">
        <v>16</v>
      </c>
      <c r="J51" t="str">
        <f>IF(ISBLANK(Table1[[#This Row],[Product]]),"Unknown",Table1[[#This Row],[Product]])</f>
        <v>Lamp</v>
      </c>
      <c r="K51" s="3">
        <v>2</v>
      </c>
      <c r="L51" s="10">
        <v>299</v>
      </c>
      <c r="N51" t="str">
        <f>IF(ISBLANK(Table1[[#This Row],[Payment method]]),"Unknown",Table1[[#This Row],[Payment method]])</f>
        <v>Unknown</v>
      </c>
      <c r="O51" t="s">
        <v>12</v>
      </c>
      <c r="P51" t="str">
        <f>IF(Table1[[#This Row],[Unit price]]&gt;2000,"High Price","Standard Price")</f>
        <v>Standard Price</v>
      </c>
    </row>
    <row r="52" spans="1:16" x14ac:dyDescent="0.3">
      <c r="A52" s="3">
        <v>10051</v>
      </c>
      <c r="B52" s="1">
        <v>45686</v>
      </c>
      <c r="C52" s="3" t="s">
        <v>82</v>
      </c>
      <c r="D52" s="3" t="s">
        <v>19</v>
      </c>
      <c r="E52" t="s">
        <v>45</v>
      </c>
      <c r="F52" t="s">
        <v>54</v>
      </c>
      <c r="G52" t="str">
        <f>IF(ISBLANK(Table1[[#This Row],[State]]),"Unknown",Table1[[#This Row],[State]])</f>
        <v>Uttar Pradesh</v>
      </c>
      <c r="H52" t="s">
        <v>2</v>
      </c>
      <c r="I52" t="s">
        <v>24</v>
      </c>
      <c r="J52" t="str">
        <f>IF(ISBLANK(Table1[[#This Row],[Product]]),"Unknown",Table1[[#This Row],[Product]])</f>
        <v>Jeans</v>
      </c>
      <c r="K52" s="3">
        <v>4</v>
      </c>
      <c r="L52" s="10">
        <v>499</v>
      </c>
      <c r="M52" t="s">
        <v>26</v>
      </c>
      <c r="N52" t="str">
        <f>IF(ISBLANK(Table1[[#This Row],[Payment method]]),"Unknown",Table1[[#This Row],[Payment method]])</f>
        <v>Card</v>
      </c>
      <c r="O52" t="s">
        <v>5</v>
      </c>
      <c r="P52" t="str">
        <f>IF(Table1[[#This Row],[Unit price]]&gt;2000,"High Price","Standard Price")</f>
        <v>Standard Price</v>
      </c>
    </row>
    <row r="53" spans="1:16" x14ac:dyDescent="0.3">
      <c r="A53" s="3">
        <v>10052</v>
      </c>
      <c r="B53" s="1">
        <v>45716</v>
      </c>
      <c r="C53" s="3" t="s">
        <v>42</v>
      </c>
      <c r="D53" s="3" t="s">
        <v>57</v>
      </c>
      <c r="E53" t="s">
        <v>20</v>
      </c>
      <c r="F53" t="s">
        <v>20</v>
      </c>
      <c r="G53" t="str">
        <f>IF(ISBLANK(Table1[[#This Row],[State]]),"Unknown",Table1[[#This Row],[State]])</f>
        <v>Delhi</v>
      </c>
      <c r="H53" t="s">
        <v>9</v>
      </c>
      <c r="I53" t="s">
        <v>10</v>
      </c>
      <c r="J53" t="str">
        <f>IF(ISBLANK(Table1[[#This Row],[Product]]),"Unknown",Table1[[#This Row],[Product]])</f>
        <v>Chair</v>
      </c>
      <c r="K53" s="3">
        <v>2</v>
      </c>
      <c r="L53" s="10">
        <v>1299</v>
      </c>
      <c r="N53" t="str">
        <f>IF(ISBLANK(Table1[[#This Row],[Payment method]]),"Unknown",Table1[[#This Row],[Payment method]])</f>
        <v>Unknown</v>
      </c>
      <c r="O53" t="s">
        <v>58</v>
      </c>
      <c r="P53" t="str">
        <f>IF(Table1[[#This Row],[Unit price]]&gt;2000,"High Price","Standard Price")</f>
        <v>Standard Price</v>
      </c>
    </row>
    <row r="54" spans="1:16" x14ac:dyDescent="0.3">
      <c r="A54" s="3">
        <v>10053</v>
      </c>
      <c r="B54" s="1">
        <v>45784</v>
      </c>
      <c r="C54" s="3" t="s">
        <v>83</v>
      </c>
      <c r="D54" s="3" t="s">
        <v>1</v>
      </c>
      <c r="E54" t="s">
        <v>20</v>
      </c>
      <c r="F54" t="s">
        <v>20</v>
      </c>
      <c r="G54" t="str">
        <f>IF(ISBLANK(Table1[[#This Row],[State]]),"Unknown",Table1[[#This Row],[State]])</f>
        <v>Delhi</v>
      </c>
      <c r="H54" t="s">
        <v>2</v>
      </c>
      <c r="I54" t="s">
        <v>24</v>
      </c>
      <c r="J54" t="str">
        <f>IF(ISBLANK(Table1[[#This Row],[Product]]),"Unknown",Table1[[#This Row],[Product]])</f>
        <v>Jeans</v>
      </c>
      <c r="K54" s="3">
        <v>3</v>
      </c>
      <c r="L54" s="10">
        <v>1299</v>
      </c>
      <c r="M54" t="s">
        <v>26</v>
      </c>
      <c r="N54" t="str">
        <f>IF(ISBLANK(Table1[[#This Row],[Payment method]]),"Unknown",Table1[[#This Row],[Payment method]])</f>
        <v>Card</v>
      </c>
      <c r="O54" t="s">
        <v>58</v>
      </c>
      <c r="P54" t="str">
        <f>IF(Table1[[#This Row],[Unit price]]&gt;2000,"High Price","Standard Price")</f>
        <v>Standard Price</v>
      </c>
    </row>
    <row r="55" spans="1:16" x14ac:dyDescent="0.3">
      <c r="A55" s="3">
        <v>10054</v>
      </c>
      <c r="B55" s="1">
        <v>45781</v>
      </c>
      <c r="C55" s="3" t="s">
        <v>84</v>
      </c>
      <c r="D55" s="3" t="s">
        <v>57</v>
      </c>
      <c r="E55" t="s">
        <v>35</v>
      </c>
      <c r="F55" t="s">
        <v>36</v>
      </c>
      <c r="G55" t="str">
        <f>IF(ISBLANK(Table1[[#This Row],[State]]),"Unknown",Table1[[#This Row],[State]])</f>
        <v>Maharastra</v>
      </c>
      <c r="H55" t="s">
        <v>33</v>
      </c>
      <c r="I55" t="s">
        <v>21</v>
      </c>
      <c r="J55" t="str">
        <f>IF(ISBLANK(Table1[[#This Row],[Product]]),"Unknown",Table1[[#This Row],[Product]])</f>
        <v>Headphones</v>
      </c>
      <c r="K55" s="3">
        <v>1</v>
      </c>
      <c r="L55" s="10">
        <v>299</v>
      </c>
      <c r="N55" t="str">
        <f>IF(ISBLANK(Table1[[#This Row],[Payment method]]),"Unknown",Table1[[#This Row],[Payment method]])</f>
        <v>Unknown</v>
      </c>
      <c r="O55" t="s">
        <v>12</v>
      </c>
      <c r="P55" t="str">
        <f>IF(Table1[[#This Row],[Unit price]]&gt;2000,"High Price","Standard Price")</f>
        <v>Standard Price</v>
      </c>
    </row>
    <row r="56" spans="1:16" x14ac:dyDescent="0.3">
      <c r="A56" s="3">
        <v>10055</v>
      </c>
      <c r="B56" s="1">
        <v>45711</v>
      </c>
      <c r="C56" s="3" t="s">
        <v>85</v>
      </c>
      <c r="D56" s="3" t="s">
        <v>14</v>
      </c>
      <c r="E56" t="s">
        <v>45</v>
      </c>
      <c r="F56" t="s">
        <v>54</v>
      </c>
      <c r="G56" t="str">
        <f>IF(ISBLANK(Table1[[#This Row],[State]]),"Unknown",Table1[[#This Row],[State]])</f>
        <v>Uttar Pradesh</v>
      </c>
      <c r="H56" t="s">
        <v>33</v>
      </c>
      <c r="I56" t="s">
        <v>49</v>
      </c>
      <c r="J56" t="str">
        <f>IF(ISBLANK(Table1[[#This Row],[Product]]),"Unknown",Table1[[#This Row],[Product]])</f>
        <v>Keyboard</v>
      </c>
      <c r="K56" s="3">
        <v>1</v>
      </c>
      <c r="L56" s="10">
        <v>799</v>
      </c>
      <c r="N56" t="str">
        <f>IF(ISBLANK(Table1[[#This Row],[Payment method]]),"Unknown",Table1[[#This Row],[Payment method]])</f>
        <v>Unknown</v>
      </c>
      <c r="O56" t="s">
        <v>5</v>
      </c>
      <c r="P56" t="str">
        <f>IF(Table1[[#This Row],[Unit price]]&gt;2000,"High Price","Standard Price")</f>
        <v>Standard Price</v>
      </c>
    </row>
    <row r="57" spans="1:16" x14ac:dyDescent="0.3">
      <c r="A57" s="3">
        <v>10056</v>
      </c>
      <c r="B57" s="1">
        <v>45835</v>
      </c>
      <c r="C57" s="3" t="s">
        <v>86</v>
      </c>
      <c r="D57" s="3" t="s">
        <v>23</v>
      </c>
      <c r="E57" t="s">
        <v>32</v>
      </c>
      <c r="F57" t="s">
        <v>36</v>
      </c>
      <c r="G57" t="str">
        <f>IF(ISBLANK(Table1[[#This Row],[State]]),"Unknown",Table1[[#This Row],[State]])</f>
        <v>Maharastra</v>
      </c>
      <c r="H57" t="s">
        <v>2</v>
      </c>
      <c r="I57" t="s">
        <v>3</v>
      </c>
      <c r="J57" t="str">
        <f>IF(ISBLANK(Table1[[#This Row],[Product]]),"Unknown",Table1[[#This Row],[Product]])</f>
        <v>T-Shirt</v>
      </c>
      <c r="K57" s="3">
        <v>2</v>
      </c>
      <c r="L57" s="10">
        <v>799</v>
      </c>
      <c r="M57" t="s">
        <v>26</v>
      </c>
      <c r="N57" t="str">
        <f>IF(ISBLANK(Table1[[#This Row],[Payment method]]),"Unknown",Table1[[#This Row],[Payment method]])</f>
        <v>Card</v>
      </c>
      <c r="O57" t="s">
        <v>58</v>
      </c>
      <c r="P57" t="str">
        <f>IF(Table1[[#This Row],[Unit price]]&gt;2000,"High Price","Standard Price")</f>
        <v>Standard Price</v>
      </c>
    </row>
    <row r="58" spans="1:16" x14ac:dyDescent="0.3">
      <c r="A58" s="3">
        <v>10057</v>
      </c>
      <c r="B58" s="1">
        <v>45794</v>
      </c>
      <c r="C58" s="3" t="s">
        <v>65</v>
      </c>
      <c r="D58" s="3" t="s">
        <v>1</v>
      </c>
      <c r="E58" t="s">
        <v>248</v>
      </c>
      <c r="G58" t="str">
        <f>IF(ISBLANK(Table1[[#This Row],[State]]),"Unknown",Table1[[#This Row],[State]])</f>
        <v>Unknown</v>
      </c>
      <c r="H58" t="s">
        <v>9</v>
      </c>
      <c r="I58" t="s">
        <v>10</v>
      </c>
      <c r="J58" t="str">
        <f>IF(ISBLANK(Table1[[#This Row],[Product]]),"Unknown",Table1[[#This Row],[Product]])</f>
        <v>Chair</v>
      </c>
      <c r="K58" s="3">
        <v>3</v>
      </c>
      <c r="L58" s="10">
        <v>1999</v>
      </c>
      <c r="M58" t="s">
        <v>26</v>
      </c>
      <c r="N58" t="str">
        <f>IF(ISBLANK(Table1[[#This Row],[Payment method]]),"Unknown",Table1[[#This Row],[Payment method]])</f>
        <v>Card</v>
      </c>
      <c r="O58" t="s">
        <v>58</v>
      </c>
      <c r="P58" t="str">
        <f>IF(Table1[[#This Row],[Unit price]]&gt;2000,"High Price","Standard Price")</f>
        <v>Standard Price</v>
      </c>
    </row>
    <row r="59" spans="1:16" x14ac:dyDescent="0.3">
      <c r="A59" s="3">
        <v>10058</v>
      </c>
      <c r="B59" s="1">
        <v>45771</v>
      </c>
      <c r="C59" s="3" t="s">
        <v>87</v>
      </c>
      <c r="D59" s="3" t="s">
        <v>43</v>
      </c>
      <c r="E59" t="s">
        <v>248</v>
      </c>
      <c r="F59" t="s">
        <v>52</v>
      </c>
      <c r="G59" t="str">
        <f>IF(ISBLANK(Table1[[#This Row],[State]]),"Unknown",Table1[[#This Row],[State]])</f>
        <v>Karnataka</v>
      </c>
      <c r="H59" t="s">
        <v>9</v>
      </c>
      <c r="J59" t="str">
        <f>IF(ISBLANK(Table1[[#This Row],[Product]]),"Unknown",Table1[[#This Row],[Product]])</f>
        <v>Unknown</v>
      </c>
      <c r="K59" s="3">
        <v>5</v>
      </c>
      <c r="L59" s="10">
        <v>1299</v>
      </c>
      <c r="M59" t="s">
        <v>26</v>
      </c>
      <c r="N59" t="str">
        <f>IF(ISBLANK(Table1[[#This Row],[Payment method]]),"Unknown",Table1[[#This Row],[Payment method]])</f>
        <v>Card</v>
      </c>
      <c r="O59" t="s">
        <v>17</v>
      </c>
      <c r="P59" t="str">
        <f>IF(Table1[[#This Row],[Unit price]]&gt;2000,"High Price","Standard Price")</f>
        <v>Standard Price</v>
      </c>
    </row>
    <row r="60" spans="1:16" x14ac:dyDescent="0.3">
      <c r="A60" s="3">
        <v>10059</v>
      </c>
      <c r="B60" s="1">
        <v>45661</v>
      </c>
      <c r="C60" s="3" t="s">
        <v>88</v>
      </c>
      <c r="D60" s="3" t="s">
        <v>7</v>
      </c>
      <c r="E60" t="s">
        <v>45</v>
      </c>
      <c r="F60" t="s">
        <v>54</v>
      </c>
      <c r="G60" t="str">
        <f>IF(ISBLANK(Table1[[#This Row],[State]]),"Unknown",Table1[[#This Row],[State]])</f>
        <v>Uttar Pradesh</v>
      </c>
      <c r="H60" t="s">
        <v>2</v>
      </c>
      <c r="I60" t="s">
        <v>24</v>
      </c>
      <c r="J60" t="str">
        <f>IF(ISBLANK(Table1[[#This Row],[Product]]),"Unknown",Table1[[#This Row],[Product]])</f>
        <v>Jeans</v>
      </c>
      <c r="K60" s="3">
        <v>4</v>
      </c>
      <c r="L60" s="10">
        <v>1999</v>
      </c>
      <c r="N60" t="str">
        <f>IF(ISBLANK(Table1[[#This Row],[Payment method]]),"Unknown",Table1[[#This Row],[Payment method]])</f>
        <v>Unknown</v>
      </c>
      <c r="O60" t="s">
        <v>5</v>
      </c>
      <c r="P60" t="str">
        <f>IF(Table1[[#This Row],[Unit price]]&gt;2000,"High Price","Standard Price")</f>
        <v>Standard Price</v>
      </c>
    </row>
    <row r="61" spans="1:16" x14ac:dyDescent="0.3">
      <c r="A61" s="3">
        <v>10060</v>
      </c>
      <c r="B61" s="1">
        <v>45704</v>
      </c>
      <c r="C61" s="3" t="s">
        <v>89</v>
      </c>
      <c r="D61" s="3" t="s">
        <v>1</v>
      </c>
      <c r="E61" t="s">
        <v>247</v>
      </c>
      <c r="F61" t="s">
        <v>36</v>
      </c>
      <c r="G61" t="str">
        <f>IF(ISBLANK(Table1[[#This Row],[State]]),"Unknown",Table1[[#This Row],[State]])</f>
        <v>Maharastra</v>
      </c>
      <c r="H61" t="s">
        <v>9</v>
      </c>
      <c r="I61" t="s">
        <v>16</v>
      </c>
      <c r="J61" t="str">
        <f>IF(ISBLANK(Table1[[#This Row],[Product]]),"Unknown",Table1[[#This Row],[Product]])</f>
        <v>Lamp</v>
      </c>
      <c r="K61" s="3">
        <v>2</v>
      </c>
      <c r="L61" s="10">
        <v>1299</v>
      </c>
      <c r="M61" t="s">
        <v>26</v>
      </c>
      <c r="N61" t="str">
        <f>IF(ISBLANK(Table1[[#This Row],[Payment method]]),"Unknown",Table1[[#This Row],[Payment method]])</f>
        <v>Card</v>
      </c>
      <c r="O61" t="s">
        <v>17</v>
      </c>
      <c r="P61" t="str">
        <f>IF(Table1[[#This Row],[Unit price]]&gt;2000,"High Price","Standard Price")</f>
        <v>Standard Price</v>
      </c>
    </row>
    <row r="62" spans="1:16" x14ac:dyDescent="0.3">
      <c r="A62" s="3">
        <v>10061</v>
      </c>
      <c r="B62" s="1">
        <v>45789</v>
      </c>
      <c r="C62" s="3" t="s">
        <v>90</v>
      </c>
      <c r="D62" s="3" t="s">
        <v>57</v>
      </c>
      <c r="E62" t="s">
        <v>20</v>
      </c>
      <c r="F62" t="s">
        <v>20</v>
      </c>
      <c r="G62" t="str">
        <f>IF(ISBLANK(Table1[[#This Row],[State]]),"Unknown",Table1[[#This Row],[State]])</f>
        <v>Delhi</v>
      </c>
      <c r="H62" t="s">
        <v>33</v>
      </c>
      <c r="J62" t="str">
        <f>IF(ISBLANK(Table1[[#This Row],[Product]]),"Unknown",Table1[[#This Row],[Product]])</f>
        <v>Unknown</v>
      </c>
      <c r="K62" s="3">
        <v>2</v>
      </c>
      <c r="L62" s="10">
        <v>799</v>
      </c>
      <c r="M62" t="s">
        <v>4</v>
      </c>
      <c r="N62" t="str">
        <f>IF(ISBLANK(Table1[[#This Row],[Payment method]]),"Unknown",Table1[[#This Row],[Payment method]])</f>
        <v>Net Banking</v>
      </c>
      <c r="O62" t="s">
        <v>17</v>
      </c>
      <c r="P62" t="str">
        <f>IF(Table1[[#This Row],[Unit price]]&gt;2000,"High Price","Standard Price")</f>
        <v>Standard Price</v>
      </c>
    </row>
    <row r="63" spans="1:16" x14ac:dyDescent="0.3">
      <c r="A63" s="3">
        <v>10062</v>
      </c>
      <c r="B63" s="1">
        <v>45713</v>
      </c>
      <c r="C63" s="3" t="s">
        <v>91</v>
      </c>
      <c r="D63" s="3" t="s">
        <v>14</v>
      </c>
      <c r="E63" t="s">
        <v>45</v>
      </c>
      <c r="F63" t="s">
        <v>54</v>
      </c>
      <c r="G63" t="str">
        <f>IF(ISBLANK(Table1[[#This Row],[State]]),"Unknown",Table1[[#This Row],[State]])</f>
        <v>Uttar Pradesh</v>
      </c>
      <c r="H63" t="s">
        <v>2</v>
      </c>
      <c r="I63" t="s">
        <v>24</v>
      </c>
      <c r="J63" t="str">
        <f>IF(ISBLANK(Table1[[#This Row],[Product]]),"Unknown",Table1[[#This Row],[Product]])</f>
        <v>Jeans</v>
      </c>
      <c r="K63" s="3">
        <v>5</v>
      </c>
      <c r="L63" s="10">
        <v>1299</v>
      </c>
      <c r="M63" t="s">
        <v>26</v>
      </c>
      <c r="N63" t="str">
        <f>IF(ISBLANK(Table1[[#This Row],[Payment method]]),"Unknown",Table1[[#This Row],[Payment method]])</f>
        <v>Card</v>
      </c>
      <c r="O63" t="s">
        <v>12</v>
      </c>
      <c r="P63" t="str">
        <f>IF(Table1[[#This Row],[Unit price]]&gt;2000,"High Price","Standard Price")</f>
        <v>Standard Price</v>
      </c>
    </row>
    <row r="64" spans="1:16" x14ac:dyDescent="0.3">
      <c r="A64" s="3">
        <v>10063</v>
      </c>
      <c r="B64" s="1">
        <v>45752</v>
      </c>
      <c r="C64" s="3" t="s">
        <v>92</v>
      </c>
      <c r="D64" s="3" t="s">
        <v>1</v>
      </c>
      <c r="E64" t="s">
        <v>45</v>
      </c>
      <c r="F64" t="s">
        <v>54</v>
      </c>
      <c r="G64" t="str">
        <f>IF(ISBLANK(Table1[[#This Row],[State]]),"Unknown",Table1[[#This Row],[State]])</f>
        <v>Uttar Pradesh</v>
      </c>
      <c r="H64" t="s">
        <v>9</v>
      </c>
      <c r="J64" t="str">
        <f>IF(ISBLANK(Table1[[#This Row],[Product]]),"Unknown",Table1[[#This Row],[Product]])</f>
        <v>Unknown</v>
      </c>
      <c r="K64" s="3">
        <v>1</v>
      </c>
      <c r="L64" s="10">
        <v>1299</v>
      </c>
      <c r="M64" t="s">
        <v>11</v>
      </c>
      <c r="N64" t="str">
        <f>IF(ISBLANK(Table1[[#This Row],[Payment method]]),"Unknown",Table1[[#This Row],[Payment method]])</f>
        <v>Cash on Delivery</v>
      </c>
      <c r="O64" t="s">
        <v>58</v>
      </c>
      <c r="P64" t="str">
        <f>IF(Table1[[#This Row],[Unit price]]&gt;2000,"High Price","Standard Price")</f>
        <v>Standard Price</v>
      </c>
    </row>
    <row r="65" spans="1:16" x14ac:dyDescent="0.3">
      <c r="A65" s="3">
        <v>10064</v>
      </c>
      <c r="B65" s="1">
        <v>45679</v>
      </c>
      <c r="C65" s="3" t="s">
        <v>93</v>
      </c>
      <c r="D65" s="3" t="s">
        <v>19</v>
      </c>
      <c r="E65" t="s">
        <v>248</v>
      </c>
      <c r="F65" t="s">
        <v>52</v>
      </c>
      <c r="G65" t="str">
        <f>IF(ISBLANK(Table1[[#This Row],[State]]),"Unknown",Table1[[#This Row],[State]])</f>
        <v>Karnataka</v>
      </c>
      <c r="H65" t="s">
        <v>9</v>
      </c>
      <c r="I65" t="s">
        <v>16</v>
      </c>
      <c r="J65" t="str">
        <f>IF(ISBLANK(Table1[[#This Row],[Product]]),"Unknown",Table1[[#This Row],[Product]])</f>
        <v>Lamp</v>
      </c>
      <c r="K65" s="3">
        <v>1</v>
      </c>
      <c r="L65" s="10">
        <v>1999</v>
      </c>
      <c r="N65" t="str">
        <f>IF(ISBLANK(Table1[[#This Row],[Payment method]]),"Unknown",Table1[[#This Row],[Payment method]])</f>
        <v>Unknown</v>
      </c>
      <c r="O65" t="s">
        <v>5</v>
      </c>
      <c r="P65" t="str">
        <f>IF(Table1[[#This Row],[Unit price]]&gt;2000,"High Price","Standard Price")</f>
        <v>Standard Price</v>
      </c>
    </row>
    <row r="66" spans="1:16" x14ac:dyDescent="0.3">
      <c r="A66" s="3">
        <v>10065</v>
      </c>
      <c r="B66" s="1">
        <v>45872</v>
      </c>
      <c r="C66" s="3" t="s">
        <v>94</v>
      </c>
      <c r="D66" s="3" t="s">
        <v>23</v>
      </c>
      <c r="E66" t="s">
        <v>45</v>
      </c>
      <c r="F66" t="s">
        <v>54</v>
      </c>
      <c r="G66" t="str">
        <f>IF(ISBLANK(Table1[[#This Row],[State]]),"Unknown",Table1[[#This Row],[State]])</f>
        <v>Uttar Pradesh</v>
      </c>
      <c r="H66" t="s">
        <v>33</v>
      </c>
      <c r="I66" t="s">
        <v>37</v>
      </c>
      <c r="J66" t="str">
        <f>IF(ISBLANK(Table1[[#This Row],[Product]]),"Unknown",Table1[[#This Row],[Product]])</f>
        <v>Mouse</v>
      </c>
      <c r="K66" s="3">
        <v>5</v>
      </c>
      <c r="L66" s="10">
        <v>299</v>
      </c>
      <c r="N66" t="str">
        <f>IF(ISBLANK(Table1[[#This Row],[Payment method]]),"Unknown",Table1[[#This Row],[Payment method]])</f>
        <v>Unknown</v>
      </c>
      <c r="O66" t="s">
        <v>58</v>
      </c>
      <c r="P66" t="str">
        <f>IF(Table1[[#This Row],[Unit price]]&gt;2000,"High Price","Standard Price")</f>
        <v>Standard Price</v>
      </c>
    </row>
    <row r="67" spans="1:16" x14ac:dyDescent="0.3">
      <c r="A67" s="3">
        <v>10066</v>
      </c>
      <c r="B67" s="1">
        <v>45828</v>
      </c>
      <c r="C67" s="3" t="s">
        <v>65</v>
      </c>
      <c r="D67" s="3" t="s">
        <v>39</v>
      </c>
      <c r="E67" t="s">
        <v>247</v>
      </c>
      <c r="F67" t="s">
        <v>15</v>
      </c>
      <c r="G67" t="str">
        <f>IF(ISBLANK(Table1[[#This Row],[State]]),"Unknown",Table1[[#This Row],[State]])</f>
        <v>Maharashtra</v>
      </c>
      <c r="H67" t="s">
        <v>2</v>
      </c>
      <c r="I67" t="s">
        <v>24</v>
      </c>
      <c r="J67" t="str">
        <f>IF(ISBLANK(Table1[[#This Row],[Product]]),"Unknown",Table1[[#This Row],[Product]])</f>
        <v>Jeans</v>
      </c>
      <c r="K67" s="3">
        <v>4</v>
      </c>
      <c r="L67" s="10">
        <v>499</v>
      </c>
      <c r="M67" t="s">
        <v>4</v>
      </c>
      <c r="N67" t="str">
        <f>IF(ISBLANK(Table1[[#This Row],[Payment method]]),"Unknown",Table1[[#This Row],[Payment method]])</f>
        <v>Net Banking</v>
      </c>
      <c r="O67" t="s">
        <v>12</v>
      </c>
      <c r="P67" t="str">
        <f>IF(Table1[[#This Row],[Unit price]]&gt;2000,"High Price","Standard Price")</f>
        <v>Standard Price</v>
      </c>
    </row>
    <row r="68" spans="1:16" x14ac:dyDescent="0.3">
      <c r="A68" s="3">
        <v>10067</v>
      </c>
      <c r="B68" s="1">
        <v>45746</v>
      </c>
      <c r="C68" s="3" t="s">
        <v>95</v>
      </c>
      <c r="D68" s="3" t="s">
        <v>23</v>
      </c>
      <c r="E68" t="s">
        <v>20</v>
      </c>
      <c r="F68" t="s">
        <v>20</v>
      </c>
      <c r="G68" t="str">
        <f>IF(ISBLANK(Table1[[#This Row],[State]]),"Unknown",Table1[[#This Row],[State]])</f>
        <v>Delhi</v>
      </c>
      <c r="H68" t="s">
        <v>9</v>
      </c>
      <c r="I68" t="s">
        <v>10</v>
      </c>
      <c r="J68" t="str">
        <f>IF(ISBLANK(Table1[[#This Row],[Product]]),"Unknown",Table1[[#This Row],[Product]])</f>
        <v>Chair</v>
      </c>
      <c r="K68" s="3">
        <v>4</v>
      </c>
      <c r="L68" s="10">
        <v>1999</v>
      </c>
      <c r="M68" t="s">
        <v>11</v>
      </c>
      <c r="N68" t="str">
        <f>IF(ISBLANK(Table1[[#This Row],[Payment method]]),"Unknown",Table1[[#This Row],[Payment method]])</f>
        <v>Cash on Delivery</v>
      </c>
      <c r="O68" t="s">
        <v>12</v>
      </c>
      <c r="P68" t="str">
        <f>IF(Table1[[#This Row],[Unit price]]&gt;2000,"High Price","Standard Price")</f>
        <v>Standard Price</v>
      </c>
    </row>
    <row r="69" spans="1:16" x14ac:dyDescent="0.3">
      <c r="A69" s="3">
        <v>10068</v>
      </c>
      <c r="B69" s="1">
        <v>45770</v>
      </c>
      <c r="C69" s="3" t="s">
        <v>96</v>
      </c>
      <c r="D69" s="3" t="s">
        <v>23</v>
      </c>
      <c r="E69" t="s">
        <v>20</v>
      </c>
      <c r="F69" t="s">
        <v>20</v>
      </c>
      <c r="G69" t="str">
        <f>IF(ISBLANK(Table1[[#This Row],[State]]),"Unknown",Table1[[#This Row],[State]])</f>
        <v>Delhi</v>
      </c>
      <c r="H69" t="s">
        <v>9</v>
      </c>
      <c r="I69" t="s">
        <v>10</v>
      </c>
      <c r="J69" t="str">
        <f>IF(ISBLANK(Table1[[#This Row],[Product]]),"Unknown",Table1[[#This Row],[Product]])</f>
        <v>Chair</v>
      </c>
      <c r="K69" s="3">
        <v>1</v>
      </c>
      <c r="L69" s="10">
        <v>299</v>
      </c>
      <c r="M69" t="s">
        <v>11</v>
      </c>
      <c r="N69" t="str">
        <f>IF(ISBLANK(Table1[[#This Row],[Payment method]]),"Unknown",Table1[[#This Row],[Payment method]])</f>
        <v>Cash on Delivery</v>
      </c>
      <c r="O69" t="s">
        <v>12</v>
      </c>
      <c r="P69" t="str">
        <f>IF(Table1[[#This Row],[Unit price]]&gt;2000,"High Price","Standard Price")</f>
        <v>Standard Price</v>
      </c>
    </row>
    <row r="70" spans="1:16" x14ac:dyDescent="0.3">
      <c r="A70" s="3">
        <v>10069</v>
      </c>
      <c r="B70" s="1">
        <v>45713</v>
      </c>
      <c r="C70" s="3" t="s">
        <v>97</v>
      </c>
      <c r="D70" s="3" t="s">
        <v>14</v>
      </c>
      <c r="E70" t="s">
        <v>35</v>
      </c>
      <c r="F70" t="s">
        <v>36</v>
      </c>
      <c r="G70" t="str">
        <f>IF(ISBLANK(Table1[[#This Row],[State]]),"Unknown",Table1[[#This Row],[State]])</f>
        <v>Maharastra</v>
      </c>
      <c r="H70" t="s">
        <v>2</v>
      </c>
      <c r="I70" t="s">
        <v>3</v>
      </c>
      <c r="J70" t="str">
        <f>IF(ISBLANK(Table1[[#This Row],[Product]]),"Unknown",Table1[[#This Row],[Product]])</f>
        <v>T-Shirt</v>
      </c>
      <c r="K70" s="3">
        <v>4</v>
      </c>
      <c r="L70" s="10">
        <v>299</v>
      </c>
      <c r="N70" t="str">
        <f>IF(ISBLANK(Table1[[#This Row],[Payment method]]),"Unknown",Table1[[#This Row],[Payment method]])</f>
        <v>Unknown</v>
      </c>
      <c r="O70" t="s">
        <v>17</v>
      </c>
      <c r="P70" t="str">
        <f>IF(Table1[[#This Row],[Unit price]]&gt;2000,"High Price","Standard Price")</f>
        <v>Standard Price</v>
      </c>
    </row>
    <row r="71" spans="1:16" x14ac:dyDescent="0.3">
      <c r="A71" s="3">
        <v>10070</v>
      </c>
      <c r="B71" s="1">
        <v>45823</v>
      </c>
      <c r="C71" s="3" t="s">
        <v>71</v>
      </c>
      <c r="D71" s="3" t="s">
        <v>14</v>
      </c>
      <c r="E71" t="s">
        <v>20</v>
      </c>
      <c r="F71" t="s">
        <v>20</v>
      </c>
      <c r="G71" t="str">
        <f>IF(ISBLANK(Table1[[#This Row],[State]]),"Unknown",Table1[[#This Row],[State]])</f>
        <v>Delhi</v>
      </c>
      <c r="H71" t="s">
        <v>2</v>
      </c>
      <c r="I71" t="s">
        <v>24</v>
      </c>
      <c r="J71" t="str">
        <f>IF(ISBLANK(Table1[[#This Row],[Product]]),"Unknown",Table1[[#This Row],[Product]])</f>
        <v>Jeans</v>
      </c>
      <c r="K71" s="3">
        <v>5</v>
      </c>
      <c r="L71" s="10">
        <v>1299</v>
      </c>
      <c r="N71" t="str">
        <f>IF(ISBLANK(Table1[[#This Row],[Payment method]]),"Unknown",Table1[[#This Row],[Payment method]])</f>
        <v>Unknown</v>
      </c>
      <c r="O71" t="s">
        <v>12</v>
      </c>
      <c r="P71" t="str">
        <f>IF(Table1[[#This Row],[Unit price]]&gt;2000,"High Price","Standard Price")</f>
        <v>Standard Price</v>
      </c>
    </row>
    <row r="72" spans="1:16" x14ac:dyDescent="0.3">
      <c r="A72" s="3">
        <v>10071</v>
      </c>
      <c r="B72" s="1">
        <v>45722</v>
      </c>
      <c r="C72" s="3" t="s">
        <v>98</v>
      </c>
      <c r="D72" s="3" t="s">
        <v>7</v>
      </c>
      <c r="E72" t="s">
        <v>248</v>
      </c>
      <c r="F72" t="s">
        <v>52</v>
      </c>
      <c r="G72" t="str">
        <f>IF(ISBLANK(Table1[[#This Row],[State]]),"Unknown",Table1[[#This Row],[State]])</f>
        <v>Karnataka</v>
      </c>
      <c r="H72" t="s">
        <v>2</v>
      </c>
      <c r="I72" t="s">
        <v>24</v>
      </c>
      <c r="J72" t="str">
        <f>IF(ISBLANK(Table1[[#This Row],[Product]]),"Unknown",Table1[[#This Row],[Product]])</f>
        <v>Jeans</v>
      </c>
      <c r="K72" s="3">
        <v>4</v>
      </c>
      <c r="L72" s="10">
        <v>499</v>
      </c>
      <c r="M72" t="s">
        <v>4</v>
      </c>
      <c r="N72" t="str">
        <f>IF(ISBLANK(Table1[[#This Row],[Payment method]]),"Unknown",Table1[[#This Row],[Payment method]])</f>
        <v>Net Banking</v>
      </c>
      <c r="O72" t="s">
        <v>17</v>
      </c>
      <c r="P72" t="str">
        <f>IF(Table1[[#This Row],[Unit price]]&gt;2000,"High Price","Standard Price")</f>
        <v>Standard Price</v>
      </c>
    </row>
    <row r="73" spans="1:16" x14ac:dyDescent="0.3">
      <c r="A73" s="3">
        <v>10072</v>
      </c>
      <c r="B73" s="1">
        <v>45760</v>
      </c>
      <c r="C73" s="3" t="s">
        <v>60</v>
      </c>
      <c r="D73" s="3" t="s">
        <v>1</v>
      </c>
      <c r="E73" t="s">
        <v>247</v>
      </c>
      <c r="F73" t="s">
        <v>36</v>
      </c>
      <c r="G73" t="str">
        <f>IF(ISBLANK(Table1[[#This Row],[State]]),"Unknown",Table1[[#This Row],[State]])</f>
        <v>Maharastra</v>
      </c>
      <c r="H73" t="s">
        <v>33</v>
      </c>
      <c r="I73" t="s">
        <v>21</v>
      </c>
      <c r="J73" t="str">
        <f>IF(ISBLANK(Table1[[#This Row],[Product]]),"Unknown",Table1[[#This Row],[Product]])</f>
        <v>Headphones</v>
      </c>
      <c r="K73" s="3">
        <v>4</v>
      </c>
      <c r="L73" s="10">
        <v>1299</v>
      </c>
      <c r="N73" t="str">
        <f>IF(ISBLANK(Table1[[#This Row],[Payment method]]),"Unknown",Table1[[#This Row],[Payment method]])</f>
        <v>Unknown</v>
      </c>
      <c r="O73" t="s">
        <v>5</v>
      </c>
      <c r="P73" t="str">
        <f>IF(Table1[[#This Row],[Unit price]]&gt;2000,"High Price","Standard Price")</f>
        <v>Standard Price</v>
      </c>
    </row>
    <row r="74" spans="1:16" x14ac:dyDescent="0.3">
      <c r="A74" s="3">
        <v>10073</v>
      </c>
      <c r="B74" s="1">
        <v>45679</v>
      </c>
      <c r="C74" s="3" t="s">
        <v>97</v>
      </c>
      <c r="D74" s="3" t="s">
        <v>43</v>
      </c>
      <c r="E74" t="s">
        <v>20</v>
      </c>
      <c r="F74" t="s">
        <v>20</v>
      </c>
      <c r="G74" t="str">
        <f>IF(ISBLANK(Table1[[#This Row],[State]]),"Unknown",Table1[[#This Row],[State]])</f>
        <v>Delhi</v>
      </c>
      <c r="H74" t="s">
        <v>33</v>
      </c>
      <c r="I74" t="s">
        <v>37</v>
      </c>
      <c r="J74" t="str">
        <f>IF(ISBLANK(Table1[[#This Row],[Product]]),"Unknown",Table1[[#This Row],[Product]])</f>
        <v>Mouse</v>
      </c>
      <c r="K74" s="3">
        <v>5</v>
      </c>
      <c r="L74" s="10">
        <v>299</v>
      </c>
      <c r="M74" t="s">
        <v>26</v>
      </c>
      <c r="N74" t="str">
        <f>IF(ISBLANK(Table1[[#This Row],[Payment method]]),"Unknown",Table1[[#This Row],[Payment method]])</f>
        <v>Card</v>
      </c>
      <c r="O74" t="s">
        <v>58</v>
      </c>
      <c r="P74" t="str">
        <f>IF(Table1[[#This Row],[Unit price]]&gt;2000,"High Price","Standard Price")</f>
        <v>Standard Price</v>
      </c>
    </row>
    <row r="75" spans="1:16" x14ac:dyDescent="0.3">
      <c r="A75" s="3">
        <v>10074</v>
      </c>
      <c r="B75" s="1">
        <v>45818</v>
      </c>
      <c r="C75" s="3" t="s">
        <v>69</v>
      </c>
      <c r="D75" s="3" t="s">
        <v>43</v>
      </c>
      <c r="E75" t="s">
        <v>45</v>
      </c>
      <c r="F75" t="s">
        <v>54</v>
      </c>
      <c r="G75" t="str">
        <f>IF(ISBLANK(Table1[[#This Row],[State]]),"Unknown",Table1[[#This Row],[State]])</f>
        <v>Uttar Pradesh</v>
      </c>
      <c r="H75" t="s">
        <v>33</v>
      </c>
      <c r="I75" t="s">
        <v>37</v>
      </c>
      <c r="J75" t="str">
        <f>IF(ISBLANK(Table1[[#This Row],[Product]]),"Unknown",Table1[[#This Row],[Product]])</f>
        <v>Mouse</v>
      </c>
      <c r="K75" s="3">
        <v>2</v>
      </c>
      <c r="L75" s="10">
        <v>499</v>
      </c>
      <c r="M75" t="s">
        <v>11</v>
      </c>
      <c r="N75" t="str">
        <f>IF(ISBLANK(Table1[[#This Row],[Payment method]]),"Unknown",Table1[[#This Row],[Payment method]])</f>
        <v>Cash on Delivery</v>
      </c>
      <c r="O75" t="s">
        <v>5</v>
      </c>
      <c r="P75" t="str">
        <f>IF(Table1[[#This Row],[Unit price]]&gt;2000,"High Price","Standard Price")</f>
        <v>Standard Price</v>
      </c>
    </row>
    <row r="76" spans="1:16" x14ac:dyDescent="0.3">
      <c r="A76" s="3">
        <v>10075</v>
      </c>
      <c r="B76" s="1">
        <v>45817</v>
      </c>
      <c r="C76" s="3" t="s">
        <v>75</v>
      </c>
      <c r="D76" s="3" t="s">
        <v>14</v>
      </c>
      <c r="E76" t="s">
        <v>8</v>
      </c>
      <c r="F76" t="s">
        <v>52</v>
      </c>
      <c r="G76" t="str">
        <f>IF(ISBLANK(Table1[[#This Row],[State]]),"Unknown",Table1[[#This Row],[State]])</f>
        <v>Karnataka</v>
      </c>
      <c r="H76" t="s">
        <v>9</v>
      </c>
      <c r="I76" t="s">
        <v>10</v>
      </c>
      <c r="J76" t="str">
        <f>IF(ISBLANK(Table1[[#This Row],[Product]]),"Unknown",Table1[[#This Row],[Product]])</f>
        <v>Chair</v>
      </c>
      <c r="K76" s="3">
        <v>3</v>
      </c>
      <c r="L76" s="10">
        <v>299</v>
      </c>
      <c r="M76" t="s">
        <v>11</v>
      </c>
      <c r="N76" t="str">
        <f>IF(ISBLANK(Table1[[#This Row],[Payment method]]),"Unknown",Table1[[#This Row],[Payment method]])</f>
        <v>Cash on Delivery</v>
      </c>
      <c r="O76" t="s">
        <v>12</v>
      </c>
      <c r="P76" t="str">
        <f>IF(Table1[[#This Row],[Unit price]]&gt;2000,"High Price","Standard Price")</f>
        <v>Standard Price</v>
      </c>
    </row>
    <row r="77" spans="1:16" x14ac:dyDescent="0.3">
      <c r="A77" s="3">
        <v>10076</v>
      </c>
      <c r="B77" s="1">
        <v>45814</v>
      </c>
      <c r="C77" s="3" t="s">
        <v>74</v>
      </c>
      <c r="D77" s="3" t="s">
        <v>14</v>
      </c>
      <c r="E77" t="s">
        <v>8</v>
      </c>
      <c r="F77" t="s">
        <v>52</v>
      </c>
      <c r="G77" t="str">
        <f>IF(ISBLANK(Table1[[#This Row],[State]]),"Unknown",Table1[[#This Row],[State]])</f>
        <v>Karnataka</v>
      </c>
      <c r="H77" t="s">
        <v>2</v>
      </c>
      <c r="I77" t="s">
        <v>24</v>
      </c>
      <c r="J77" t="str">
        <f>IF(ISBLANK(Table1[[#This Row],[Product]]),"Unknown",Table1[[#This Row],[Product]])</f>
        <v>Jeans</v>
      </c>
      <c r="K77" s="3">
        <v>1</v>
      </c>
      <c r="L77" s="10">
        <v>299</v>
      </c>
      <c r="M77" t="s">
        <v>11</v>
      </c>
      <c r="N77" t="str">
        <f>IF(ISBLANK(Table1[[#This Row],[Payment method]]),"Unknown",Table1[[#This Row],[Payment method]])</f>
        <v>Cash on Delivery</v>
      </c>
      <c r="O77" t="s">
        <v>12</v>
      </c>
      <c r="P77" t="str">
        <f>IF(Table1[[#This Row],[Unit price]]&gt;2000,"High Price","Standard Price")</f>
        <v>Standard Price</v>
      </c>
    </row>
    <row r="78" spans="1:16" x14ac:dyDescent="0.3">
      <c r="A78" s="3">
        <v>10077</v>
      </c>
      <c r="B78" s="1">
        <v>45663</v>
      </c>
      <c r="C78" s="3" t="s">
        <v>99</v>
      </c>
      <c r="D78" s="3" t="s">
        <v>1</v>
      </c>
      <c r="E78" t="s">
        <v>32</v>
      </c>
      <c r="F78" t="s">
        <v>36</v>
      </c>
      <c r="G78" t="str">
        <f>IF(ISBLANK(Table1[[#This Row],[State]]),"Unknown",Table1[[#This Row],[State]])</f>
        <v>Maharastra</v>
      </c>
      <c r="H78" t="s">
        <v>2</v>
      </c>
      <c r="I78" t="s">
        <v>24</v>
      </c>
      <c r="J78" t="str">
        <f>IF(ISBLANK(Table1[[#This Row],[Product]]),"Unknown",Table1[[#This Row],[Product]])</f>
        <v>Jeans</v>
      </c>
      <c r="K78" s="3">
        <v>1</v>
      </c>
      <c r="L78" s="10">
        <v>499</v>
      </c>
      <c r="M78" t="s">
        <v>26</v>
      </c>
      <c r="N78" t="str">
        <f>IF(ISBLANK(Table1[[#This Row],[Payment method]]),"Unknown",Table1[[#This Row],[Payment method]])</f>
        <v>Card</v>
      </c>
      <c r="O78" t="s">
        <v>5</v>
      </c>
      <c r="P78" t="str">
        <f>IF(Table1[[#This Row],[Unit price]]&gt;2000,"High Price","Standard Price")</f>
        <v>Standard Price</v>
      </c>
    </row>
    <row r="79" spans="1:16" x14ac:dyDescent="0.3">
      <c r="A79" s="3">
        <v>10078</v>
      </c>
      <c r="B79" s="1">
        <v>45776</v>
      </c>
      <c r="C79" s="3" t="s">
        <v>100</v>
      </c>
      <c r="D79" s="3" t="s">
        <v>43</v>
      </c>
      <c r="E79" t="s">
        <v>45</v>
      </c>
      <c r="F79" t="s">
        <v>54</v>
      </c>
      <c r="G79" t="str">
        <f>IF(ISBLANK(Table1[[#This Row],[State]]),"Unknown",Table1[[#This Row],[State]])</f>
        <v>Uttar Pradesh</v>
      </c>
      <c r="H79" t="s">
        <v>2</v>
      </c>
      <c r="I79" t="s">
        <v>24</v>
      </c>
      <c r="J79" t="str">
        <f>IF(ISBLANK(Table1[[#This Row],[Product]]),"Unknown",Table1[[#This Row],[Product]])</f>
        <v>Jeans</v>
      </c>
      <c r="K79" s="3">
        <v>1</v>
      </c>
      <c r="L79" s="10">
        <v>299</v>
      </c>
      <c r="N79" t="str">
        <f>IF(ISBLANK(Table1[[#This Row],[Payment method]]),"Unknown",Table1[[#This Row],[Payment method]])</f>
        <v>Unknown</v>
      </c>
      <c r="O79" t="s">
        <v>5</v>
      </c>
      <c r="P79" t="str">
        <f>IF(Table1[[#This Row],[Unit price]]&gt;2000,"High Price","Standard Price")</f>
        <v>Standard Price</v>
      </c>
    </row>
    <row r="80" spans="1:16" x14ac:dyDescent="0.3">
      <c r="A80" s="3">
        <v>10079</v>
      </c>
      <c r="B80" s="1">
        <v>45684</v>
      </c>
      <c r="C80" s="3" t="s">
        <v>101</v>
      </c>
      <c r="D80" s="3" t="s">
        <v>1</v>
      </c>
      <c r="E80" t="s">
        <v>8</v>
      </c>
      <c r="F80" t="s">
        <v>52</v>
      </c>
      <c r="G80" t="str">
        <f>IF(ISBLANK(Table1[[#This Row],[State]]),"Unknown",Table1[[#This Row],[State]])</f>
        <v>Karnataka</v>
      </c>
      <c r="H80" t="s">
        <v>33</v>
      </c>
      <c r="I80" t="s">
        <v>37</v>
      </c>
      <c r="J80" t="str">
        <f>IF(ISBLANK(Table1[[#This Row],[Product]]),"Unknown",Table1[[#This Row],[Product]])</f>
        <v>Mouse</v>
      </c>
      <c r="K80" s="3">
        <v>4</v>
      </c>
      <c r="L80" s="10">
        <v>299</v>
      </c>
      <c r="M80" t="s">
        <v>4</v>
      </c>
      <c r="N80" t="str">
        <f>IF(ISBLANK(Table1[[#This Row],[Payment method]]),"Unknown",Table1[[#This Row],[Payment method]])</f>
        <v>Net Banking</v>
      </c>
      <c r="O80" t="s">
        <v>5</v>
      </c>
      <c r="P80" t="str">
        <f>IF(Table1[[#This Row],[Unit price]]&gt;2000,"High Price","Standard Price")</f>
        <v>Standard Price</v>
      </c>
    </row>
    <row r="81" spans="1:16" x14ac:dyDescent="0.3">
      <c r="A81" s="3">
        <v>10080</v>
      </c>
      <c r="B81" s="1">
        <v>45706</v>
      </c>
      <c r="C81" s="3" t="s">
        <v>102</v>
      </c>
      <c r="D81" s="3" t="s">
        <v>57</v>
      </c>
      <c r="E81" t="s">
        <v>45</v>
      </c>
      <c r="F81" t="s">
        <v>54</v>
      </c>
      <c r="G81" t="str">
        <f>IF(ISBLANK(Table1[[#This Row],[State]]),"Unknown",Table1[[#This Row],[State]])</f>
        <v>Uttar Pradesh</v>
      </c>
      <c r="H81" t="s">
        <v>33</v>
      </c>
      <c r="J81" t="str">
        <f>IF(ISBLANK(Table1[[#This Row],[Product]]),"Unknown",Table1[[#This Row],[Product]])</f>
        <v>Unknown</v>
      </c>
      <c r="K81" s="3">
        <v>5</v>
      </c>
      <c r="L81" s="10">
        <v>799</v>
      </c>
      <c r="N81" t="str">
        <f>IF(ISBLANK(Table1[[#This Row],[Payment method]]),"Unknown",Table1[[#This Row],[Payment method]])</f>
        <v>Unknown</v>
      </c>
      <c r="O81" t="s">
        <v>12</v>
      </c>
      <c r="P81" t="str">
        <f>IF(Table1[[#This Row],[Unit price]]&gt;2000,"High Price","Standard Price")</f>
        <v>Standard Price</v>
      </c>
    </row>
    <row r="82" spans="1:16" x14ac:dyDescent="0.3">
      <c r="A82" s="3">
        <v>10081</v>
      </c>
      <c r="B82" s="1">
        <v>45791</v>
      </c>
      <c r="C82" s="3" t="s">
        <v>103</v>
      </c>
      <c r="D82" s="3" t="s">
        <v>14</v>
      </c>
      <c r="E82" t="s">
        <v>32</v>
      </c>
      <c r="F82" t="s">
        <v>15</v>
      </c>
      <c r="G82" t="str">
        <f>IF(ISBLANK(Table1[[#This Row],[State]]),"Unknown",Table1[[#This Row],[State]])</f>
        <v>Maharashtra</v>
      </c>
      <c r="H82" t="s">
        <v>2</v>
      </c>
      <c r="I82" t="s">
        <v>24</v>
      </c>
      <c r="J82" t="str">
        <f>IF(ISBLANK(Table1[[#This Row],[Product]]),"Unknown",Table1[[#This Row],[Product]])</f>
        <v>Jeans</v>
      </c>
      <c r="K82" s="3">
        <v>3</v>
      </c>
      <c r="L82" s="10">
        <v>1999</v>
      </c>
      <c r="M82" t="s">
        <v>11</v>
      </c>
      <c r="N82" t="str">
        <f>IF(ISBLANK(Table1[[#This Row],[Payment method]]),"Unknown",Table1[[#This Row],[Payment method]])</f>
        <v>Cash on Delivery</v>
      </c>
      <c r="O82" t="s">
        <v>12</v>
      </c>
      <c r="P82" t="str">
        <f>IF(Table1[[#This Row],[Unit price]]&gt;2000,"High Price","Standard Price")</f>
        <v>Standard Price</v>
      </c>
    </row>
    <row r="83" spans="1:16" x14ac:dyDescent="0.3">
      <c r="A83" s="3">
        <v>10082</v>
      </c>
      <c r="B83" s="1">
        <v>45873</v>
      </c>
      <c r="C83" s="3" t="s">
        <v>104</v>
      </c>
      <c r="D83" s="3" t="s">
        <v>7</v>
      </c>
      <c r="E83" t="s">
        <v>45</v>
      </c>
      <c r="F83" t="s">
        <v>54</v>
      </c>
      <c r="G83" t="str">
        <f>IF(ISBLANK(Table1[[#This Row],[State]]),"Unknown",Table1[[#This Row],[State]])</f>
        <v>Uttar Pradesh</v>
      </c>
      <c r="H83" t="s">
        <v>2</v>
      </c>
      <c r="I83" t="s">
        <v>3</v>
      </c>
      <c r="J83" t="str">
        <f>IF(ISBLANK(Table1[[#This Row],[Product]]),"Unknown",Table1[[#This Row],[Product]])</f>
        <v>T-Shirt</v>
      </c>
      <c r="K83" s="3">
        <v>2</v>
      </c>
      <c r="L83" s="10">
        <v>1999</v>
      </c>
      <c r="M83" t="s">
        <v>4</v>
      </c>
      <c r="N83" t="str">
        <f>IF(ISBLANK(Table1[[#This Row],[Payment method]]),"Unknown",Table1[[#This Row],[Payment method]])</f>
        <v>Net Banking</v>
      </c>
      <c r="O83" t="s">
        <v>12</v>
      </c>
      <c r="P83" t="str">
        <f>IF(Table1[[#This Row],[Unit price]]&gt;2000,"High Price","Standard Price")</f>
        <v>Standard Price</v>
      </c>
    </row>
    <row r="84" spans="1:16" x14ac:dyDescent="0.3">
      <c r="A84" s="3">
        <v>10083</v>
      </c>
      <c r="B84" s="1">
        <v>45659</v>
      </c>
      <c r="C84" s="3" t="s">
        <v>105</v>
      </c>
      <c r="D84" s="3" t="s">
        <v>57</v>
      </c>
      <c r="E84" t="s">
        <v>32</v>
      </c>
      <c r="F84" t="s">
        <v>15</v>
      </c>
      <c r="G84" t="str">
        <f>IF(ISBLANK(Table1[[#This Row],[State]]),"Unknown",Table1[[#This Row],[State]])</f>
        <v>Maharashtra</v>
      </c>
      <c r="H84" t="s">
        <v>33</v>
      </c>
      <c r="I84" t="s">
        <v>37</v>
      </c>
      <c r="J84" t="str">
        <f>IF(ISBLANK(Table1[[#This Row],[Product]]),"Unknown",Table1[[#This Row],[Product]])</f>
        <v>Mouse</v>
      </c>
      <c r="K84" s="3">
        <v>2</v>
      </c>
      <c r="L84" s="10">
        <v>1299</v>
      </c>
      <c r="N84" t="str">
        <f>IF(ISBLANK(Table1[[#This Row],[Payment method]]),"Unknown",Table1[[#This Row],[Payment method]])</f>
        <v>Unknown</v>
      </c>
      <c r="O84" t="s">
        <v>17</v>
      </c>
      <c r="P84" t="str">
        <f>IF(Table1[[#This Row],[Unit price]]&gt;2000,"High Price","Standard Price")</f>
        <v>Standard Price</v>
      </c>
    </row>
    <row r="85" spans="1:16" x14ac:dyDescent="0.3">
      <c r="A85" s="3">
        <v>10084</v>
      </c>
      <c r="B85" s="1">
        <v>45712</v>
      </c>
      <c r="C85" s="3" t="s">
        <v>106</v>
      </c>
      <c r="D85" s="3" t="s">
        <v>43</v>
      </c>
      <c r="E85" t="s">
        <v>45</v>
      </c>
      <c r="F85" t="s">
        <v>54</v>
      </c>
      <c r="G85" t="str">
        <f>IF(ISBLANK(Table1[[#This Row],[State]]),"Unknown",Table1[[#This Row],[State]])</f>
        <v>Uttar Pradesh</v>
      </c>
      <c r="H85" t="s">
        <v>2</v>
      </c>
      <c r="I85" t="s">
        <v>24</v>
      </c>
      <c r="J85" t="str">
        <f>IF(ISBLANK(Table1[[#This Row],[Product]]),"Unknown",Table1[[#This Row],[Product]])</f>
        <v>Jeans</v>
      </c>
      <c r="K85" s="3">
        <v>2</v>
      </c>
      <c r="L85" s="10">
        <v>1999</v>
      </c>
      <c r="M85" t="s">
        <v>4</v>
      </c>
      <c r="N85" t="str">
        <f>IF(ISBLANK(Table1[[#This Row],[Payment method]]),"Unknown",Table1[[#This Row],[Payment method]])</f>
        <v>Net Banking</v>
      </c>
      <c r="O85" t="s">
        <v>12</v>
      </c>
      <c r="P85" t="str">
        <f>IF(Table1[[#This Row],[Unit price]]&gt;2000,"High Price","Standard Price")</f>
        <v>Standard Price</v>
      </c>
    </row>
    <row r="86" spans="1:16" x14ac:dyDescent="0.3">
      <c r="A86" s="3">
        <v>10085</v>
      </c>
      <c r="B86" s="1">
        <v>45736</v>
      </c>
      <c r="C86" s="3" t="s">
        <v>107</v>
      </c>
      <c r="D86" s="3" t="s">
        <v>57</v>
      </c>
      <c r="E86" t="s">
        <v>45</v>
      </c>
      <c r="F86" t="s">
        <v>54</v>
      </c>
      <c r="G86" t="str">
        <f>IF(ISBLANK(Table1[[#This Row],[State]]),"Unknown",Table1[[#This Row],[State]])</f>
        <v>Uttar Pradesh</v>
      </c>
      <c r="H86" t="s">
        <v>33</v>
      </c>
      <c r="I86" t="s">
        <v>21</v>
      </c>
      <c r="J86" t="str">
        <f>IF(ISBLANK(Table1[[#This Row],[Product]]),"Unknown",Table1[[#This Row],[Product]])</f>
        <v>Headphones</v>
      </c>
      <c r="K86" s="3">
        <v>4</v>
      </c>
      <c r="L86" s="10">
        <v>799</v>
      </c>
      <c r="N86" t="str">
        <f>IF(ISBLANK(Table1[[#This Row],[Payment method]]),"Unknown",Table1[[#This Row],[Payment method]])</f>
        <v>Unknown</v>
      </c>
      <c r="O86" t="s">
        <v>17</v>
      </c>
      <c r="P86" t="str">
        <f>IF(Table1[[#This Row],[Unit price]]&gt;2000,"High Price","Standard Price")</f>
        <v>Standard Price</v>
      </c>
    </row>
    <row r="87" spans="1:16" x14ac:dyDescent="0.3">
      <c r="A87" s="3">
        <v>10086</v>
      </c>
      <c r="B87" s="1">
        <v>45766</v>
      </c>
      <c r="C87" s="3" t="s">
        <v>108</v>
      </c>
      <c r="D87" s="3" t="s">
        <v>57</v>
      </c>
      <c r="E87" t="s">
        <v>248</v>
      </c>
      <c r="F87" t="s">
        <v>52</v>
      </c>
      <c r="G87" t="str">
        <f>IF(ISBLANK(Table1[[#This Row],[State]]),"Unknown",Table1[[#This Row],[State]])</f>
        <v>Karnataka</v>
      </c>
      <c r="H87" t="s">
        <v>2</v>
      </c>
      <c r="I87" t="s">
        <v>3</v>
      </c>
      <c r="J87" t="str">
        <f>IF(ISBLANK(Table1[[#This Row],[Product]]),"Unknown",Table1[[#This Row],[Product]])</f>
        <v>T-Shirt</v>
      </c>
      <c r="K87" s="3">
        <v>2</v>
      </c>
      <c r="L87" s="10">
        <v>499</v>
      </c>
      <c r="N87" t="str">
        <f>IF(ISBLANK(Table1[[#This Row],[Payment method]]),"Unknown",Table1[[#This Row],[Payment method]])</f>
        <v>Unknown</v>
      </c>
      <c r="O87" t="s">
        <v>58</v>
      </c>
      <c r="P87" t="str">
        <f>IF(Table1[[#This Row],[Unit price]]&gt;2000,"High Price","Standard Price")</f>
        <v>Standard Price</v>
      </c>
    </row>
    <row r="88" spans="1:16" x14ac:dyDescent="0.3">
      <c r="A88" s="3">
        <v>10087</v>
      </c>
      <c r="B88" s="1">
        <v>45727</v>
      </c>
      <c r="C88" s="3" t="s">
        <v>100</v>
      </c>
      <c r="D88" s="3" t="s">
        <v>39</v>
      </c>
      <c r="E88" t="s">
        <v>45</v>
      </c>
      <c r="F88" t="s">
        <v>54</v>
      </c>
      <c r="G88" t="str">
        <f>IF(ISBLANK(Table1[[#This Row],[State]]),"Unknown",Table1[[#This Row],[State]])</f>
        <v>Uttar Pradesh</v>
      </c>
      <c r="H88" t="s">
        <v>2</v>
      </c>
      <c r="I88" t="s">
        <v>24</v>
      </c>
      <c r="J88" t="str">
        <f>IF(ISBLANK(Table1[[#This Row],[Product]]),"Unknown",Table1[[#This Row],[Product]])</f>
        <v>Jeans</v>
      </c>
      <c r="K88" s="3">
        <v>3</v>
      </c>
      <c r="L88" s="10">
        <v>799</v>
      </c>
      <c r="N88" t="str">
        <f>IF(ISBLANK(Table1[[#This Row],[Payment method]]),"Unknown",Table1[[#This Row],[Payment method]])</f>
        <v>Unknown</v>
      </c>
      <c r="O88" t="s">
        <v>58</v>
      </c>
      <c r="P88" t="str">
        <f>IF(Table1[[#This Row],[Unit price]]&gt;2000,"High Price","Standard Price")</f>
        <v>Standard Price</v>
      </c>
    </row>
    <row r="89" spans="1:16" x14ac:dyDescent="0.3">
      <c r="A89" s="3">
        <v>10088</v>
      </c>
      <c r="B89" s="1">
        <v>45698</v>
      </c>
      <c r="C89" s="3" t="s">
        <v>109</v>
      </c>
      <c r="D89" s="3" t="s">
        <v>14</v>
      </c>
      <c r="E89" t="s">
        <v>20</v>
      </c>
      <c r="F89" t="s">
        <v>20</v>
      </c>
      <c r="G89" t="str">
        <f>IF(ISBLANK(Table1[[#This Row],[State]]),"Unknown",Table1[[#This Row],[State]])</f>
        <v>Delhi</v>
      </c>
      <c r="H89" t="s">
        <v>33</v>
      </c>
      <c r="I89" t="s">
        <v>21</v>
      </c>
      <c r="J89" t="str">
        <f>IF(ISBLANK(Table1[[#This Row],[Product]]),"Unknown",Table1[[#This Row],[Product]])</f>
        <v>Headphones</v>
      </c>
      <c r="K89" s="3">
        <v>1</v>
      </c>
      <c r="L89" s="10">
        <v>1299</v>
      </c>
      <c r="N89" t="str">
        <f>IF(ISBLANK(Table1[[#This Row],[Payment method]]),"Unknown",Table1[[#This Row],[Payment method]])</f>
        <v>Unknown</v>
      </c>
      <c r="O89" t="s">
        <v>58</v>
      </c>
      <c r="P89" t="str">
        <f>IF(Table1[[#This Row],[Unit price]]&gt;2000,"High Price","Standard Price")</f>
        <v>Standard Price</v>
      </c>
    </row>
    <row r="90" spans="1:16" x14ac:dyDescent="0.3">
      <c r="A90" s="3">
        <v>10089</v>
      </c>
      <c r="B90" s="1">
        <v>45824</v>
      </c>
      <c r="C90" s="3" t="s">
        <v>110</v>
      </c>
      <c r="D90" s="3" t="s">
        <v>57</v>
      </c>
      <c r="E90" t="s">
        <v>20</v>
      </c>
      <c r="F90" t="s">
        <v>20</v>
      </c>
      <c r="G90" t="str">
        <f>IF(ISBLANK(Table1[[#This Row],[State]]),"Unknown",Table1[[#This Row],[State]])</f>
        <v>Delhi</v>
      </c>
      <c r="H90" t="s">
        <v>33</v>
      </c>
      <c r="I90" t="s">
        <v>21</v>
      </c>
      <c r="J90" t="str">
        <f>IF(ISBLANK(Table1[[#This Row],[Product]]),"Unknown",Table1[[#This Row],[Product]])</f>
        <v>Headphones</v>
      </c>
      <c r="K90" s="3">
        <v>1</v>
      </c>
      <c r="L90" s="10">
        <v>1999</v>
      </c>
      <c r="M90" t="s">
        <v>4</v>
      </c>
      <c r="N90" t="str">
        <f>IF(ISBLANK(Table1[[#This Row],[Payment method]]),"Unknown",Table1[[#This Row],[Payment method]])</f>
        <v>Net Banking</v>
      </c>
      <c r="O90" t="s">
        <v>58</v>
      </c>
      <c r="P90" t="str">
        <f>IF(Table1[[#This Row],[Unit price]]&gt;2000,"High Price","Standard Price")</f>
        <v>Standard Price</v>
      </c>
    </row>
    <row r="91" spans="1:16" x14ac:dyDescent="0.3">
      <c r="A91" s="3">
        <v>10090</v>
      </c>
      <c r="B91" s="1">
        <v>45814</v>
      </c>
      <c r="C91" s="3" t="s">
        <v>62</v>
      </c>
      <c r="D91" s="3" t="s">
        <v>39</v>
      </c>
      <c r="E91" t="s">
        <v>45</v>
      </c>
      <c r="F91" t="s">
        <v>54</v>
      </c>
      <c r="G91" t="str">
        <f>IF(ISBLANK(Table1[[#This Row],[State]]),"Unknown",Table1[[#This Row],[State]])</f>
        <v>Uttar Pradesh</v>
      </c>
      <c r="H91" t="s">
        <v>2</v>
      </c>
      <c r="I91" t="s">
        <v>3</v>
      </c>
      <c r="J91" t="str">
        <f>IF(ISBLANK(Table1[[#This Row],[Product]]),"Unknown",Table1[[#This Row],[Product]])</f>
        <v>T-Shirt</v>
      </c>
      <c r="K91" s="3">
        <v>5</v>
      </c>
      <c r="L91" s="10">
        <v>1299</v>
      </c>
      <c r="M91" t="s">
        <v>26</v>
      </c>
      <c r="N91" t="str">
        <f>IF(ISBLANK(Table1[[#This Row],[Payment method]]),"Unknown",Table1[[#This Row],[Payment method]])</f>
        <v>Card</v>
      </c>
      <c r="O91" t="s">
        <v>17</v>
      </c>
      <c r="P91" t="str">
        <f>IF(Table1[[#This Row],[Unit price]]&gt;2000,"High Price","Standard Price")</f>
        <v>Standard Price</v>
      </c>
    </row>
    <row r="92" spans="1:16" x14ac:dyDescent="0.3">
      <c r="A92" s="3">
        <v>10091</v>
      </c>
      <c r="B92" s="1">
        <v>45673</v>
      </c>
      <c r="C92" s="3" t="s">
        <v>29</v>
      </c>
      <c r="D92" s="3" t="s">
        <v>7</v>
      </c>
      <c r="E92" t="s">
        <v>32</v>
      </c>
      <c r="F92" t="s">
        <v>15</v>
      </c>
      <c r="G92" t="str">
        <f>IF(ISBLANK(Table1[[#This Row],[State]]),"Unknown",Table1[[#This Row],[State]])</f>
        <v>Maharashtra</v>
      </c>
      <c r="H92" t="s">
        <v>2</v>
      </c>
      <c r="I92" t="s">
        <v>24</v>
      </c>
      <c r="J92" t="str">
        <f>IF(ISBLANK(Table1[[#This Row],[Product]]),"Unknown",Table1[[#This Row],[Product]])</f>
        <v>Jeans</v>
      </c>
      <c r="K92" s="3">
        <v>5</v>
      </c>
      <c r="L92" s="10">
        <v>1999</v>
      </c>
      <c r="M92" t="s">
        <v>26</v>
      </c>
      <c r="N92" t="str">
        <f>IF(ISBLANK(Table1[[#This Row],[Payment method]]),"Unknown",Table1[[#This Row],[Payment method]])</f>
        <v>Card</v>
      </c>
      <c r="O92" t="s">
        <v>58</v>
      </c>
      <c r="P92" t="str">
        <f>IF(Table1[[#This Row],[Unit price]]&gt;2000,"High Price","Standard Price")</f>
        <v>Standard Price</v>
      </c>
    </row>
    <row r="93" spans="1:16" x14ac:dyDescent="0.3">
      <c r="A93" s="3">
        <v>10092</v>
      </c>
      <c r="B93" s="1">
        <v>45687</v>
      </c>
      <c r="C93" s="3" t="s">
        <v>22</v>
      </c>
      <c r="D93" s="3" t="s">
        <v>1</v>
      </c>
      <c r="E93" t="s">
        <v>35</v>
      </c>
      <c r="F93" t="s">
        <v>36</v>
      </c>
      <c r="G93" t="str">
        <f>IF(ISBLANK(Table1[[#This Row],[State]]),"Unknown",Table1[[#This Row],[State]])</f>
        <v>Maharastra</v>
      </c>
      <c r="H93" t="s">
        <v>9</v>
      </c>
      <c r="I93" t="s">
        <v>10</v>
      </c>
      <c r="J93" t="str">
        <f>IF(ISBLANK(Table1[[#This Row],[Product]]),"Unknown",Table1[[#This Row],[Product]])</f>
        <v>Chair</v>
      </c>
      <c r="K93" s="3">
        <v>4</v>
      </c>
      <c r="L93" s="10">
        <v>499</v>
      </c>
      <c r="M93" t="s">
        <v>11</v>
      </c>
      <c r="N93" t="str">
        <f>IF(ISBLANK(Table1[[#This Row],[Payment method]]),"Unknown",Table1[[#This Row],[Payment method]])</f>
        <v>Cash on Delivery</v>
      </c>
      <c r="O93" t="s">
        <v>58</v>
      </c>
      <c r="P93" t="str">
        <f>IF(Table1[[#This Row],[Unit price]]&gt;2000,"High Price","Standard Price")</f>
        <v>Standard Price</v>
      </c>
    </row>
    <row r="94" spans="1:16" x14ac:dyDescent="0.3">
      <c r="A94" s="3">
        <v>10093</v>
      </c>
      <c r="B94" s="1">
        <v>45993</v>
      </c>
      <c r="C94" s="3" t="s">
        <v>111</v>
      </c>
      <c r="D94" s="3" t="s">
        <v>7</v>
      </c>
      <c r="E94" t="s">
        <v>45</v>
      </c>
      <c r="F94" t="s">
        <v>54</v>
      </c>
      <c r="G94" t="str">
        <f>IF(ISBLANK(Table1[[#This Row],[State]]),"Unknown",Table1[[#This Row],[State]])</f>
        <v>Uttar Pradesh</v>
      </c>
      <c r="H94" t="s">
        <v>9</v>
      </c>
      <c r="I94" t="s">
        <v>16</v>
      </c>
      <c r="J94" t="str">
        <f>IF(ISBLANK(Table1[[#This Row],[Product]]),"Unknown",Table1[[#This Row],[Product]])</f>
        <v>Lamp</v>
      </c>
      <c r="K94" s="3">
        <v>2</v>
      </c>
      <c r="L94" s="10">
        <v>1999</v>
      </c>
      <c r="N94" t="str">
        <f>IF(ISBLANK(Table1[[#This Row],[Payment method]]),"Unknown",Table1[[#This Row],[Payment method]])</f>
        <v>Unknown</v>
      </c>
      <c r="O94" t="s">
        <v>17</v>
      </c>
      <c r="P94" t="str">
        <f>IF(Table1[[#This Row],[Unit price]]&gt;2000,"High Price","Standard Price")</f>
        <v>Standard Price</v>
      </c>
    </row>
    <row r="95" spans="1:16" x14ac:dyDescent="0.3">
      <c r="A95" s="3">
        <v>10094</v>
      </c>
      <c r="B95" s="1">
        <v>45724</v>
      </c>
      <c r="C95" s="3" t="s">
        <v>34</v>
      </c>
      <c r="D95" s="3" t="s">
        <v>19</v>
      </c>
      <c r="E95" t="s">
        <v>20</v>
      </c>
      <c r="F95" t="s">
        <v>20</v>
      </c>
      <c r="G95" t="str">
        <f>IF(ISBLANK(Table1[[#This Row],[State]]),"Unknown",Table1[[#This Row],[State]])</f>
        <v>Delhi</v>
      </c>
      <c r="H95" t="s">
        <v>2</v>
      </c>
      <c r="I95" t="s">
        <v>3</v>
      </c>
      <c r="J95" t="str">
        <f>IF(ISBLANK(Table1[[#This Row],[Product]]),"Unknown",Table1[[#This Row],[Product]])</f>
        <v>T-Shirt</v>
      </c>
      <c r="K95" s="3">
        <v>1</v>
      </c>
      <c r="L95" s="10">
        <v>499</v>
      </c>
      <c r="M95" t="s">
        <v>4</v>
      </c>
      <c r="N95" t="str">
        <f>IF(ISBLANK(Table1[[#This Row],[Payment method]]),"Unknown",Table1[[#This Row],[Payment method]])</f>
        <v>Net Banking</v>
      </c>
      <c r="O95" t="s">
        <v>5</v>
      </c>
      <c r="P95" t="str">
        <f>IF(Table1[[#This Row],[Unit price]]&gt;2000,"High Price","Standard Price")</f>
        <v>Standard Price</v>
      </c>
    </row>
    <row r="96" spans="1:16" x14ac:dyDescent="0.3">
      <c r="A96" s="3">
        <v>10095</v>
      </c>
      <c r="B96" s="1">
        <v>45688</v>
      </c>
      <c r="C96" s="3" t="s">
        <v>90</v>
      </c>
      <c r="D96" s="3" t="s">
        <v>57</v>
      </c>
      <c r="E96" t="s">
        <v>45</v>
      </c>
      <c r="F96" t="s">
        <v>54</v>
      </c>
      <c r="G96" t="str">
        <f>IF(ISBLANK(Table1[[#This Row],[State]]),"Unknown",Table1[[#This Row],[State]])</f>
        <v>Uttar Pradesh</v>
      </c>
      <c r="H96" t="s">
        <v>9</v>
      </c>
      <c r="I96" t="s">
        <v>10</v>
      </c>
      <c r="J96" t="str">
        <f>IF(ISBLANK(Table1[[#This Row],[Product]]),"Unknown",Table1[[#This Row],[Product]])</f>
        <v>Chair</v>
      </c>
      <c r="K96" s="3">
        <v>3</v>
      </c>
      <c r="L96" s="10">
        <v>499</v>
      </c>
      <c r="N96" t="str">
        <f>IF(ISBLANK(Table1[[#This Row],[Payment method]]),"Unknown",Table1[[#This Row],[Payment method]])</f>
        <v>Unknown</v>
      </c>
      <c r="O96" t="s">
        <v>12</v>
      </c>
      <c r="P96" t="str">
        <f>IF(Table1[[#This Row],[Unit price]]&gt;2000,"High Price","Standard Price")</f>
        <v>Standard Price</v>
      </c>
    </row>
    <row r="97" spans="1:16" x14ac:dyDescent="0.3">
      <c r="A97" s="3">
        <v>10096</v>
      </c>
      <c r="B97" s="1">
        <v>45745</v>
      </c>
      <c r="C97" s="3" t="s">
        <v>76</v>
      </c>
      <c r="D97" s="3" t="s">
        <v>23</v>
      </c>
      <c r="E97" t="s">
        <v>32</v>
      </c>
      <c r="F97" t="s">
        <v>36</v>
      </c>
      <c r="G97" t="str">
        <f>IF(ISBLANK(Table1[[#This Row],[State]]),"Unknown",Table1[[#This Row],[State]])</f>
        <v>Maharastra</v>
      </c>
      <c r="H97" t="s">
        <v>33</v>
      </c>
      <c r="I97" t="s">
        <v>21</v>
      </c>
      <c r="J97" t="str">
        <f>IF(ISBLANK(Table1[[#This Row],[Product]]),"Unknown",Table1[[#This Row],[Product]])</f>
        <v>Headphones</v>
      </c>
      <c r="K97" s="3">
        <v>4</v>
      </c>
      <c r="L97" s="10">
        <v>499</v>
      </c>
      <c r="M97" t="s">
        <v>11</v>
      </c>
      <c r="N97" t="str">
        <f>IF(ISBLANK(Table1[[#This Row],[Payment method]]),"Unknown",Table1[[#This Row],[Payment method]])</f>
        <v>Cash on Delivery</v>
      </c>
      <c r="O97" t="s">
        <v>58</v>
      </c>
      <c r="P97" t="str">
        <f>IF(Table1[[#This Row],[Unit price]]&gt;2000,"High Price","Standard Price")</f>
        <v>Standard Price</v>
      </c>
    </row>
    <row r="98" spans="1:16" x14ac:dyDescent="0.3">
      <c r="A98" s="3">
        <v>10097</v>
      </c>
      <c r="B98" s="1">
        <v>45689</v>
      </c>
      <c r="C98" s="3" t="s">
        <v>112</v>
      </c>
      <c r="D98" s="3" t="s">
        <v>57</v>
      </c>
      <c r="E98" t="s">
        <v>45</v>
      </c>
      <c r="F98" t="s">
        <v>54</v>
      </c>
      <c r="G98" t="str">
        <f>IF(ISBLANK(Table1[[#This Row],[State]]),"Unknown",Table1[[#This Row],[State]])</f>
        <v>Uttar Pradesh</v>
      </c>
      <c r="H98" t="s">
        <v>2</v>
      </c>
      <c r="I98" t="s">
        <v>3</v>
      </c>
      <c r="J98" t="str">
        <f>IF(ISBLANK(Table1[[#This Row],[Product]]),"Unknown",Table1[[#This Row],[Product]])</f>
        <v>T-Shirt</v>
      </c>
      <c r="K98" s="3">
        <v>1</v>
      </c>
      <c r="L98" s="10">
        <v>299</v>
      </c>
      <c r="N98" t="str">
        <f>IF(ISBLANK(Table1[[#This Row],[Payment method]]),"Unknown",Table1[[#This Row],[Payment method]])</f>
        <v>Unknown</v>
      </c>
      <c r="O98" t="s">
        <v>5</v>
      </c>
      <c r="P98" t="str">
        <f>IF(Table1[[#This Row],[Unit price]]&gt;2000,"High Price","Standard Price")</f>
        <v>Standard Price</v>
      </c>
    </row>
    <row r="99" spans="1:16" x14ac:dyDescent="0.3">
      <c r="A99" s="3">
        <v>10098</v>
      </c>
      <c r="B99" s="1">
        <v>45684</v>
      </c>
      <c r="C99" s="3" t="s">
        <v>113</v>
      </c>
      <c r="D99" s="3" t="s">
        <v>19</v>
      </c>
      <c r="E99" t="s">
        <v>20</v>
      </c>
      <c r="F99" t="s">
        <v>20</v>
      </c>
      <c r="G99" t="str">
        <f>IF(ISBLANK(Table1[[#This Row],[State]]),"Unknown",Table1[[#This Row],[State]])</f>
        <v>Delhi</v>
      </c>
      <c r="H99" t="s">
        <v>2</v>
      </c>
      <c r="I99" t="s">
        <v>3</v>
      </c>
      <c r="J99" t="str">
        <f>IF(ISBLANK(Table1[[#This Row],[Product]]),"Unknown",Table1[[#This Row],[Product]])</f>
        <v>T-Shirt</v>
      </c>
      <c r="K99" s="3">
        <v>4</v>
      </c>
      <c r="L99" s="10">
        <v>1999</v>
      </c>
      <c r="M99" t="s">
        <v>4</v>
      </c>
      <c r="N99" t="str">
        <f>IF(ISBLANK(Table1[[#This Row],[Payment method]]),"Unknown",Table1[[#This Row],[Payment method]])</f>
        <v>Net Banking</v>
      </c>
      <c r="O99" t="s">
        <v>58</v>
      </c>
      <c r="P99" t="str">
        <f>IF(Table1[[#This Row],[Unit price]]&gt;2000,"High Price","Standard Price")</f>
        <v>Standard Price</v>
      </c>
    </row>
    <row r="100" spans="1:16" x14ac:dyDescent="0.3">
      <c r="A100" s="3">
        <v>10099</v>
      </c>
      <c r="B100" s="1">
        <v>45822</v>
      </c>
      <c r="C100" s="3" t="s">
        <v>114</v>
      </c>
      <c r="D100" s="3" t="s">
        <v>43</v>
      </c>
      <c r="E100" t="s">
        <v>20</v>
      </c>
      <c r="F100" t="s">
        <v>20</v>
      </c>
      <c r="G100" t="str">
        <f>IF(ISBLANK(Table1[[#This Row],[State]]),"Unknown",Table1[[#This Row],[State]])</f>
        <v>Delhi</v>
      </c>
      <c r="H100" t="s">
        <v>33</v>
      </c>
      <c r="I100" t="s">
        <v>49</v>
      </c>
      <c r="J100" t="str">
        <f>IF(ISBLANK(Table1[[#This Row],[Product]]),"Unknown",Table1[[#This Row],[Product]])</f>
        <v>Keyboard</v>
      </c>
      <c r="K100" s="3">
        <v>1</v>
      </c>
      <c r="L100" s="10">
        <v>499</v>
      </c>
      <c r="M100" t="s">
        <v>26</v>
      </c>
      <c r="N100" t="str">
        <f>IF(ISBLANK(Table1[[#This Row],[Payment method]]),"Unknown",Table1[[#This Row],[Payment method]])</f>
        <v>Card</v>
      </c>
      <c r="O100" t="s">
        <v>17</v>
      </c>
      <c r="P100" t="str">
        <f>IF(Table1[[#This Row],[Unit price]]&gt;2000,"High Price","Standard Price")</f>
        <v>Standard Price</v>
      </c>
    </row>
    <row r="101" spans="1:16" x14ac:dyDescent="0.3">
      <c r="A101" s="3">
        <v>10100</v>
      </c>
      <c r="B101" s="1">
        <v>45825</v>
      </c>
      <c r="C101" s="3" t="s">
        <v>111</v>
      </c>
      <c r="D101" s="3" t="s">
        <v>43</v>
      </c>
      <c r="E101" t="s">
        <v>45</v>
      </c>
      <c r="F101" t="s">
        <v>54</v>
      </c>
      <c r="G101" t="str">
        <f>IF(ISBLANK(Table1[[#This Row],[State]]),"Unknown",Table1[[#This Row],[State]])</f>
        <v>Uttar Pradesh</v>
      </c>
      <c r="H101" t="s">
        <v>33</v>
      </c>
      <c r="I101" t="s">
        <v>49</v>
      </c>
      <c r="J101" t="str">
        <f>IF(ISBLANK(Table1[[#This Row],[Product]]),"Unknown",Table1[[#This Row],[Product]])</f>
        <v>Keyboard</v>
      </c>
      <c r="K101" s="3">
        <v>5</v>
      </c>
      <c r="L101" s="10">
        <v>299</v>
      </c>
      <c r="M101" t="s">
        <v>26</v>
      </c>
      <c r="N101" t="str">
        <f>IF(ISBLANK(Table1[[#This Row],[Payment method]]),"Unknown",Table1[[#This Row],[Payment method]])</f>
        <v>Card</v>
      </c>
      <c r="O101" t="s">
        <v>5</v>
      </c>
      <c r="P101" t="str">
        <f>IF(Table1[[#This Row],[Unit price]]&gt;2000,"High Price","Standard Price")</f>
        <v>Standard Price</v>
      </c>
    </row>
    <row r="102" spans="1:16" x14ac:dyDescent="0.3">
      <c r="A102" s="3">
        <v>10101</v>
      </c>
      <c r="B102" s="1">
        <v>45833</v>
      </c>
      <c r="C102" s="3" t="s">
        <v>76</v>
      </c>
      <c r="D102" s="3" t="s">
        <v>39</v>
      </c>
      <c r="E102" t="s">
        <v>20</v>
      </c>
      <c r="F102" t="s">
        <v>20</v>
      </c>
      <c r="G102" t="str">
        <f>IF(ISBLANK(Table1[[#This Row],[State]]),"Unknown",Table1[[#This Row],[State]])</f>
        <v>Delhi</v>
      </c>
      <c r="H102" t="s">
        <v>33</v>
      </c>
      <c r="I102" t="s">
        <v>49</v>
      </c>
      <c r="J102" t="str">
        <f>IF(ISBLANK(Table1[[#This Row],[Product]]),"Unknown",Table1[[#This Row],[Product]])</f>
        <v>Keyboard</v>
      </c>
      <c r="K102" s="3">
        <v>1</v>
      </c>
      <c r="L102" s="10">
        <v>799</v>
      </c>
      <c r="N102" t="str">
        <f>IF(ISBLANK(Table1[[#This Row],[Payment method]]),"Unknown",Table1[[#This Row],[Payment method]])</f>
        <v>Unknown</v>
      </c>
      <c r="O102" t="s">
        <v>12</v>
      </c>
      <c r="P102" t="str">
        <f>IF(Table1[[#This Row],[Unit price]]&gt;2000,"High Price","Standard Price")</f>
        <v>Standard Price</v>
      </c>
    </row>
    <row r="103" spans="1:16" x14ac:dyDescent="0.3">
      <c r="A103" s="3">
        <v>10102</v>
      </c>
      <c r="B103" s="1">
        <v>45706</v>
      </c>
      <c r="C103" s="3" t="s">
        <v>115</v>
      </c>
      <c r="D103" s="3" t="s">
        <v>57</v>
      </c>
      <c r="E103" t="s">
        <v>45</v>
      </c>
      <c r="F103" t="s">
        <v>54</v>
      </c>
      <c r="G103" t="str">
        <f>IF(ISBLANK(Table1[[#This Row],[State]]),"Unknown",Table1[[#This Row],[State]])</f>
        <v>Uttar Pradesh</v>
      </c>
      <c r="H103" t="s">
        <v>9</v>
      </c>
      <c r="I103" t="s">
        <v>16</v>
      </c>
      <c r="J103" t="str">
        <f>IF(ISBLANK(Table1[[#This Row],[Product]]),"Unknown",Table1[[#This Row],[Product]])</f>
        <v>Lamp</v>
      </c>
      <c r="K103" s="3">
        <v>5</v>
      </c>
      <c r="L103" s="10">
        <v>1999</v>
      </c>
      <c r="N103" t="str">
        <f>IF(ISBLANK(Table1[[#This Row],[Payment method]]),"Unknown",Table1[[#This Row],[Payment method]])</f>
        <v>Unknown</v>
      </c>
      <c r="O103" t="s">
        <v>5</v>
      </c>
      <c r="P103" t="str">
        <f>IF(Table1[[#This Row],[Unit price]]&gt;2000,"High Price","Standard Price")</f>
        <v>Standard Price</v>
      </c>
    </row>
    <row r="104" spans="1:16" x14ac:dyDescent="0.3">
      <c r="A104" s="3">
        <v>10103</v>
      </c>
      <c r="B104" s="1">
        <v>45775</v>
      </c>
      <c r="C104" s="3" t="s">
        <v>116</v>
      </c>
      <c r="D104" s="3" t="s">
        <v>14</v>
      </c>
      <c r="E104" t="s">
        <v>32</v>
      </c>
      <c r="F104" t="s">
        <v>15</v>
      </c>
      <c r="G104" t="str">
        <f>IF(ISBLANK(Table1[[#This Row],[State]]),"Unknown",Table1[[#This Row],[State]])</f>
        <v>Maharashtra</v>
      </c>
      <c r="H104" t="s">
        <v>9</v>
      </c>
      <c r="I104" t="s">
        <v>10</v>
      </c>
      <c r="J104" t="str">
        <f>IF(ISBLANK(Table1[[#This Row],[Product]]),"Unknown",Table1[[#This Row],[Product]])</f>
        <v>Chair</v>
      </c>
      <c r="K104" s="3">
        <v>4</v>
      </c>
      <c r="L104" s="10">
        <v>299</v>
      </c>
      <c r="N104" t="str">
        <f>IF(ISBLANK(Table1[[#This Row],[Payment method]]),"Unknown",Table1[[#This Row],[Payment method]])</f>
        <v>Unknown</v>
      </c>
      <c r="O104" t="s">
        <v>5</v>
      </c>
      <c r="P104" t="str">
        <f>IF(Table1[[#This Row],[Unit price]]&gt;2000,"High Price","Standard Price")</f>
        <v>Standard Price</v>
      </c>
    </row>
    <row r="105" spans="1:16" x14ac:dyDescent="0.3">
      <c r="A105" s="3">
        <v>10104</v>
      </c>
      <c r="B105" s="1">
        <v>45774</v>
      </c>
      <c r="C105" s="3" t="s">
        <v>41</v>
      </c>
      <c r="D105" s="3" t="s">
        <v>19</v>
      </c>
      <c r="E105" t="s">
        <v>8</v>
      </c>
      <c r="F105" t="s">
        <v>52</v>
      </c>
      <c r="G105" t="str">
        <f>IF(ISBLANK(Table1[[#This Row],[State]]),"Unknown",Table1[[#This Row],[State]])</f>
        <v>Karnataka</v>
      </c>
      <c r="H105" t="s">
        <v>33</v>
      </c>
      <c r="I105" t="s">
        <v>21</v>
      </c>
      <c r="J105" t="str">
        <f>IF(ISBLANK(Table1[[#This Row],[Product]]),"Unknown",Table1[[#This Row],[Product]])</f>
        <v>Headphones</v>
      </c>
      <c r="K105" s="3">
        <v>3</v>
      </c>
      <c r="L105" s="10">
        <v>299</v>
      </c>
      <c r="N105" t="str">
        <f>IF(ISBLANK(Table1[[#This Row],[Payment method]]),"Unknown",Table1[[#This Row],[Payment method]])</f>
        <v>Unknown</v>
      </c>
      <c r="O105" t="s">
        <v>5</v>
      </c>
      <c r="P105" t="str">
        <f>IF(Table1[[#This Row],[Unit price]]&gt;2000,"High Price","Standard Price")</f>
        <v>Standard Price</v>
      </c>
    </row>
    <row r="106" spans="1:16" x14ac:dyDescent="0.3">
      <c r="A106" s="3">
        <v>10105</v>
      </c>
      <c r="B106" s="1">
        <v>45710</v>
      </c>
      <c r="C106" s="3" t="s">
        <v>116</v>
      </c>
      <c r="D106" s="3" t="s">
        <v>7</v>
      </c>
      <c r="E106" t="s">
        <v>35</v>
      </c>
      <c r="F106" t="s">
        <v>15</v>
      </c>
      <c r="G106" t="str">
        <f>IF(ISBLANK(Table1[[#This Row],[State]]),"Unknown",Table1[[#This Row],[State]])</f>
        <v>Maharashtra</v>
      </c>
      <c r="H106" t="s">
        <v>2</v>
      </c>
      <c r="I106" t="s">
        <v>24</v>
      </c>
      <c r="J106" t="str">
        <f>IF(ISBLANK(Table1[[#This Row],[Product]]),"Unknown",Table1[[#This Row],[Product]])</f>
        <v>Jeans</v>
      </c>
      <c r="K106" s="3">
        <v>1</v>
      </c>
      <c r="L106" s="10">
        <v>1299</v>
      </c>
      <c r="M106" t="s">
        <v>4</v>
      </c>
      <c r="N106" t="str">
        <f>IF(ISBLANK(Table1[[#This Row],[Payment method]]),"Unknown",Table1[[#This Row],[Payment method]])</f>
        <v>Net Banking</v>
      </c>
      <c r="O106" t="s">
        <v>17</v>
      </c>
      <c r="P106" t="str">
        <f>IF(Table1[[#This Row],[Unit price]]&gt;2000,"High Price","Standard Price")</f>
        <v>Standard Price</v>
      </c>
    </row>
    <row r="107" spans="1:16" x14ac:dyDescent="0.3">
      <c r="A107" s="3">
        <v>10106</v>
      </c>
      <c r="B107" s="1">
        <v>45678</v>
      </c>
      <c r="C107" s="3" t="s">
        <v>117</v>
      </c>
      <c r="D107" s="3" t="s">
        <v>23</v>
      </c>
      <c r="E107" t="s">
        <v>249</v>
      </c>
      <c r="F107" t="s">
        <v>15</v>
      </c>
      <c r="G107" t="str">
        <f>IF(ISBLANK(Table1[[#This Row],[State]]),"Unknown",Table1[[#This Row],[State]])</f>
        <v>Maharashtra</v>
      </c>
      <c r="H107" t="s">
        <v>9</v>
      </c>
      <c r="I107" t="s">
        <v>10</v>
      </c>
      <c r="J107" t="str">
        <f>IF(ISBLANK(Table1[[#This Row],[Product]]),"Unknown",Table1[[#This Row],[Product]])</f>
        <v>Chair</v>
      </c>
      <c r="K107" s="3">
        <v>5</v>
      </c>
      <c r="L107" s="10">
        <v>499</v>
      </c>
      <c r="N107" t="str">
        <f>IF(ISBLANK(Table1[[#This Row],[Payment method]]),"Unknown",Table1[[#This Row],[Payment method]])</f>
        <v>Unknown</v>
      </c>
      <c r="O107" t="s">
        <v>17</v>
      </c>
      <c r="P107" t="str">
        <f>IF(Table1[[#This Row],[Unit price]]&gt;2000,"High Price","Standard Price")</f>
        <v>Standard Price</v>
      </c>
    </row>
    <row r="108" spans="1:16" x14ac:dyDescent="0.3">
      <c r="A108" s="3">
        <v>10107</v>
      </c>
      <c r="B108" s="1">
        <v>45684</v>
      </c>
      <c r="C108" s="3" t="s">
        <v>118</v>
      </c>
      <c r="D108" s="3" t="s">
        <v>7</v>
      </c>
      <c r="E108" t="s">
        <v>32</v>
      </c>
      <c r="F108" t="s">
        <v>15</v>
      </c>
      <c r="G108" t="str">
        <f>IF(ISBLANK(Table1[[#This Row],[State]]),"Unknown",Table1[[#This Row],[State]])</f>
        <v>Maharashtra</v>
      </c>
      <c r="H108" t="s">
        <v>33</v>
      </c>
      <c r="I108" t="s">
        <v>49</v>
      </c>
      <c r="J108" t="str">
        <f>IF(ISBLANK(Table1[[#This Row],[Product]]),"Unknown",Table1[[#This Row],[Product]])</f>
        <v>Keyboard</v>
      </c>
      <c r="K108" s="3">
        <v>3</v>
      </c>
      <c r="L108" s="10">
        <v>1999</v>
      </c>
      <c r="M108" t="s">
        <v>26</v>
      </c>
      <c r="N108" t="str">
        <f>IF(ISBLANK(Table1[[#This Row],[Payment method]]),"Unknown",Table1[[#This Row],[Payment method]])</f>
        <v>Card</v>
      </c>
      <c r="O108" t="s">
        <v>17</v>
      </c>
      <c r="P108" t="str">
        <f>IF(Table1[[#This Row],[Unit price]]&gt;2000,"High Price","Standard Price")</f>
        <v>Standard Price</v>
      </c>
    </row>
    <row r="109" spans="1:16" x14ac:dyDescent="0.3">
      <c r="A109" s="3">
        <v>10108</v>
      </c>
      <c r="B109" s="1">
        <v>45819</v>
      </c>
      <c r="C109" s="3" t="s">
        <v>106</v>
      </c>
      <c r="D109" s="3" t="s">
        <v>14</v>
      </c>
      <c r="E109" t="s">
        <v>32</v>
      </c>
      <c r="F109" t="s">
        <v>15</v>
      </c>
      <c r="G109" t="str">
        <f>IF(ISBLANK(Table1[[#This Row],[State]]),"Unknown",Table1[[#This Row],[State]])</f>
        <v>Maharashtra</v>
      </c>
      <c r="H109" t="s">
        <v>2</v>
      </c>
      <c r="I109" t="s">
        <v>24</v>
      </c>
      <c r="J109" t="str">
        <f>IF(ISBLANK(Table1[[#This Row],[Product]]),"Unknown",Table1[[#This Row],[Product]])</f>
        <v>Jeans</v>
      </c>
      <c r="K109" s="3">
        <v>1</v>
      </c>
      <c r="L109" s="10">
        <v>799</v>
      </c>
      <c r="N109" t="str">
        <f>IF(ISBLANK(Table1[[#This Row],[Payment method]]),"Unknown",Table1[[#This Row],[Payment method]])</f>
        <v>Unknown</v>
      </c>
      <c r="O109" t="s">
        <v>5</v>
      </c>
      <c r="P109" t="str">
        <f>IF(Table1[[#This Row],[Unit price]]&gt;2000,"High Price","Standard Price")</f>
        <v>Standard Price</v>
      </c>
    </row>
    <row r="110" spans="1:16" x14ac:dyDescent="0.3">
      <c r="A110" s="3">
        <v>10109</v>
      </c>
      <c r="B110" s="1">
        <v>45933</v>
      </c>
      <c r="C110" s="3" t="s">
        <v>119</v>
      </c>
      <c r="D110" s="3" t="s">
        <v>57</v>
      </c>
      <c r="E110" t="s">
        <v>20</v>
      </c>
      <c r="F110" t="s">
        <v>20</v>
      </c>
      <c r="G110" t="str">
        <f>IF(ISBLANK(Table1[[#This Row],[State]]),"Unknown",Table1[[#This Row],[State]])</f>
        <v>Delhi</v>
      </c>
      <c r="H110" t="s">
        <v>2</v>
      </c>
      <c r="I110" t="s">
        <v>3</v>
      </c>
      <c r="J110" t="str">
        <f>IF(ISBLANK(Table1[[#This Row],[Product]]),"Unknown",Table1[[#This Row],[Product]])</f>
        <v>T-Shirt</v>
      </c>
      <c r="K110" s="3">
        <v>5</v>
      </c>
      <c r="L110" s="10">
        <v>299</v>
      </c>
      <c r="M110" t="s">
        <v>11</v>
      </c>
      <c r="N110" t="str">
        <f>IF(ISBLANK(Table1[[#This Row],[Payment method]]),"Unknown",Table1[[#This Row],[Payment method]])</f>
        <v>Cash on Delivery</v>
      </c>
      <c r="O110" t="s">
        <v>58</v>
      </c>
      <c r="P110" t="str">
        <f>IF(Table1[[#This Row],[Unit price]]&gt;2000,"High Price","Standard Price")</f>
        <v>Standard Price</v>
      </c>
    </row>
    <row r="111" spans="1:16" x14ac:dyDescent="0.3">
      <c r="A111" s="3">
        <v>10110</v>
      </c>
      <c r="B111" s="1">
        <v>45684</v>
      </c>
      <c r="C111" s="3" t="s">
        <v>120</v>
      </c>
      <c r="D111" s="3" t="s">
        <v>19</v>
      </c>
      <c r="E111" t="s">
        <v>45</v>
      </c>
      <c r="F111" t="s">
        <v>54</v>
      </c>
      <c r="G111" t="str">
        <f>IF(ISBLANK(Table1[[#This Row],[State]]),"Unknown",Table1[[#This Row],[State]])</f>
        <v>Uttar Pradesh</v>
      </c>
      <c r="H111" t="s">
        <v>9</v>
      </c>
      <c r="I111" t="s">
        <v>10</v>
      </c>
      <c r="J111" t="str">
        <f>IF(ISBLANK(Table1[[#This Row],[Product]]),"Unknown",Table1[[#This Row],[Product]])</f>
        <v>Chair</v>
      </c>
      <c r="K111" s="3">
        <v>1</v>
      </c>
      <c r="L111" s="10">
        <v>499</v>
      </c>
      <c r="M111" t="s">
        <v>26</v>
      </c>
      <c r="N111" t="str">
        <f>IF(ISBLANK(Table1[[#This Row],[Payment method]]),"Unknown",Table1[[#This Row],[Payment method]])</f>
        <v>Card</v>
      </c>
      <c r="O111" t="s">
        <v>58</v>
      </c>
      <c r="P111" t="str">
        <f>IF(Table1[[#This Row],[Unit price]]&gt;2000,"High Price","Standard Price")</f>
        <v>Standard Price</v>
      </c>
    </row>
    <row r="112" spans="1:16" x14ac:dyDescent="0.3">
      <c r="A112" s="3">
        <v>10111</v>
      </c>
      <c r="B112" s="1">
        <v>45777</v>
      </c>
      <c r="C112" s="3" t="s">
        <v>56</v>
      </c>
      <c r="D112" s="3" t="s">
        <v>39</v>
      </c>
      <c r="E112" t="s">
        <v>247</v>
      </c>
      <c r="F112" t="s">
        <v>15</v>
      </c>
      <c r="G112" t="str">
        <f>IF(ISBLANK(Table1[[#This Row],[State]]),"Unknown",Table1[[#This Row],[State]])</f>
        <v>Maharashtra</v>
      </c>
      <c r="H112" t="s">
        <v>2</v>
      </c>
      <c r="I112" t="s">
        <v>3</v>
      </c>
      <c r="J112" t="str">
        <f>IF(ISBLANK(Table1[[#This Row],[Product]]),"Unknown",Table1[[#This Row],[Product]])</f>
        <v>T-Shirt</v>
      </c>
      <c r="K112" s="3">
        <v>4</v>
      </c>
      <c r="L112" s="10">
        <v>499</v>
      </c>
      <c r="M112" t="s">
        <v>26</v>
      </c>
      <c r="N112" t="str">
        <f>IF(ISBLANK(Table1[[#This Row],[Payment method]]),"Unknown",Table1[[#This Row],[Payment method]])</f>
        <v>Card</v>
      </c>
      <c r="O112" t="s">
        <v>5</v>
      </c>
      <c r="P112" t="str">
        <f>IF(Table1[[#This Row],[Unit price]]&gt;2000,"High Price","Standard Price")</f>
        <v>Standard Price</v>
      </c>
    </row>
    <row r="113" spans="1:16" x14ac:dyDescent="0.3">
      <c r="A113" s="3">
        <v>10112</v>
      </c>
      <c r="B113" s="1">
        <v>45677</v>
      </c>
      <c r="C113" s="3" t="s">
        <v>40</v>
      </c>
      <c r="D113" s="3" t="s">
        <v>14</v>
      </c>
      <c r="E113" t="s">
        <v>45</v>
      </c>
      <c r="F113" t="s">
        <v>54</v>
      </c>
      <c r="G113" t="str">
        <f>IF(ISBLANK(Table1[[#This Row],[State]]),"Unknown",Table1[[#This Row],[State]])</f>
        <v>Uttar Pradesh</v>
      </c>
      <c r="H113" t="s">
        <v>9</v>
      </c>
      <c r="I113" t="s">
        <v>16</v>
      </c>
      <c r="J113" t="str">
        <f>IF(ISBLANK(Table1[[#This Row],[Product]]),"Unknown",Table1[[#This Row],[Product]])</f>
        <v>Lamp</v>
      </c>
      <c r="K113" s="3">
        <v>1</v>
      </c>
      <c r="L113" s="10">
        <v>1999</v>
      </c>
      <c r="N113" t="str">
        <f>IF(ISBLANK(Table1[[#This Row],[Payment method]]),"Unknown",Table1[[#This Row],[Payment method]])</f>
        <v>Unknown</v>
      </c>
      <c r="O113" t="s">
        <v>12</v>
      </c>
      <c r="P113" t="str">
        <f>IF(Table1[[#This Row],[Unit price]]&gt;2000,"High Price","Standard Price")</f>
        <v>Standard Price</v>
      </c>
    </row>
    <row r="114" spans="1:16" x14ac:dyDescent="0.3">
      <c r="A114" s="3">
        <v>10113</v>
      </c>
      <c r="B114" s="1">
        <v>45783</v>
      </c>
      <c r="C114" s="3" t="s">
        <v>121</v>
      </c>
      <c r="D114" s="3" t="s">
        <v>57</v>
      </c>
      <c r="E114" t="s">
        <v>35</v>
      </c>
      <c r="F114" t="s">
        <v>15</v>
      </c>
      <c r="G114" t="str">
        <f>IF(ISBLANK(Table1[[#This Row],[State]]),"Unknown",Table1[[#This Row],[State]])</f>
        <v>Maharashtra</v>
      </c>
      <c r="H114" t="s">
        <v>33</v>
      </c>
      <c r="I114" t="s">
        <v>21</v>
      </c>
      <c r="J114" t="str">
        <f>IF(ISBLANK(Table1[[#This Row],[Product]]),"Unknown",Table1[[#This Row],[Product]])</f>
        <v>Headphones</v>
      </c>
      <c r="K114" s="3">
        <v>5</v>
      </c>
      <c r="L114" s="10">
        <v>1999</v>
      </c>
      <c r="N114" t="str">
        <f>IF(ISBLANK(Table1[[#This Row],[Payment method]]),"Unknown",Table1[[#This Row],[Payment method]])</f>
        <v>Unknown</v>
      </c>
      <c r="O114" t="s">
        <v>5</v>
      </c>
      <c r="P114" t="str">
        <f>IF(Table1[[#This Row],[Unit price]]&gt;2000,"High Price","Standard Price")</f>
        <v>Standard Price</v>
      </c>
    </row>
    <row r="115" spans="1:16" x14ac:dyDescent="0.3">
      <c r="A115" s="3">
        <v>10114</v>
      </c>
      <c r="B115" s="1">
        <v>45807</v>
      </c>
      <c r="C115" s="3" t="s">
        <v>76</v>
      </c>
      <c r="D115" s="3" t="s">
        <v>23</v>
      </c>
      <c r="E115" t="s">
        <v>248</v>
      </c>
      <c r="F115" t="s">
        <v>52</v>
      </c>
      <c r="G115" t="str">
        <f>IF(ISBLANK(Table1[[#This Row],[State]]),"Unknown",Table1[[#This Row],[State]])</f>
        <v>Karnataka</v>
      </c>
      <c r="H115" t="s">
        <v>9</v>
      </c>
      <c r="I115" t="s">
        <v>16</v>
      </c>
      <c r="J115" t="str">
        <f>IF(ISBLANK(Table1[[#This Row],[Product]]),"Unknown",Table1[[#This Row],[Product]])</f>
        <v>Lamp</v>
      </c>
      <c r="K115" s="3">
        <v>2</v>
      </c>
      <c r="L115" s="10">
        <v>499</v>
      </c>
      <c r="N115" t="str">
        <f>IF(ISBLANK(Table1[[#This Row],[Payment method]]),"Unknown",Table1[[#This Row],[Payment method]])</f>
        <v>Unknown</v>
      </c>
      <c r="O115" t="s">
        <v>5</v>
      </c>
      <c r="P115" t="str">
        <f>IF(Table1[[#This Row],[Unit price]]&gt;2000,"High Price","Standard Price")</f>
        <v>Standard Price</v>
      </c>
    </row>
    <row r="116" spans="1:16" x14ac:dyDescent="0.3">
      <c r="A116" s="3">
        <v>10115</v>
      </c>
      <c r="B116" s="1">
        <v>45721</v>
      </c>
      <c r="C116" s="3" t="s">
        <v>122</v>
      </c>
      <c r="D116" s="3" t="s">
        <v>57</v>
      </c>
      <c r="E116" t="s">
        <v>45</v>
      </c>
      <c r="F116" t="s">
        <v>54</v>
      </c>
      <c r="G116" t="str">
        <f>IF(ISBLANK(Table1[[#This Row],[State]]),"Unknown",Table1[[#This Row],[State]])</f>
        <v>Uttar Pradesh</v>
      </c>
      <c r="H116" t="s">
        <v>33</v>
      </c>
      <c r="I116" t="s">
        <v>49</v>
      </c>
      <c r="J116" t="str">
        <f>IF(ISBLANK(Table1[[#This Row],[Product]]),"Unknown",Table1[[#This Row],[Product]])</f>
        <v>Keyboard</v>
      </c>
      <c r="K116" s="3">
        <v>4</v>
      </c>
      <c r="L116" s="10">
        <v>499</v>
      </c>
      <c r="N116" t="str">
        <f>IF(ISBLANK(Table1[[#This Row],[Payment method]]),"Unknown",Table1[[#This Row],[Payment method]])</f>
        <v>Unknown</v>
      </c>
      <c r="O116" t="s">
        <v>12</v>
      </c>
      <c r="P116" t="str">
        <f>IF(Table1[[#This Row],[Unit price]]&gt;2000,"High Price","Standard Price")</f>
        <v>Standard Price</v>
      </c>
    </row>
    <row r="117" spans="1:16" x14ac:dyDescent="0.3">
      <c r="A117" s="3">
        <v>10116</v>
      </c>
      <c r="B117" s="1">
        <v>45774</v>
      </c>
      <c r="C117" s="3" t="s">
        <v>123</v>
      </c>
      <c r="D117" s="3" t="s">
        <v>1</v>
      </c>
      <c r="E117" t="s">
        <v>45</v>
      </c>
      <c r="F117" t="s">
        <v>54</v>
      </c>
      <c r="G117" t="str">
        <f>IF(ISBLANK(Table1[[#This Row],[State]]),"Unknown",Table1[[#This Row],[State]])</f>
        <v>Uttar Pradesh</v>
      </c>
      <c r="H117" t="s">
        <v>9</v>
      </c>
      <c r="I117" t="s">
        <v>10</v>
      </c>
      <c r="J117" t="str">
        <f>IF(ISBLANK(Table1[[#This Row],[Product]]),"Unknown",Table1[[#This Row],[Product]])</f>
        <v>Chair</v>
      </c>
      <c r="K117" s="3">
        <v>3</v>
      </c>
      <c r="L117" s="10">
        <v>1999</v>
      </c>
      <c r="N117" t="str">
        <f>IF(ISBLANK(Table1[[#This Row],[Payment method]]),"Unknown",Table1[[#This Row],[Payment method]])</f>
        <v>Unknown</v>
      </c>
      <c r="O117" t="s">
        <v>12</v>
      </c>
      <c r="P117" t="str">
        <f>IF(Table1[[#This Row],[Unit price]]&gt;2000,"High Price","Standard Price")</f>
        <v>Standard Price</v>
      </c>
    </row>
    <row r="118" spans="1:16" x14ac:dyDescent="0.3">
      <c r="A118" s="3">
        <v>10117</v>
      </c>
      <c r="B118" s="1">
        <v>45807</v>
      </c>
      <c r="C118" s="3" t="s">
        <v>124</v>
      </c>
      <c r="D118" s="3" t="s">
        <v>19</v>
      </c>
      <c r="E118" t="s">
        <v>20</v>
      </c>
      <c r="F118" t="s">
        <v>20</v>
      </c>
      <c r="G118" t="str">
        <f>IF(ISBLANK(Table1[[#This Row],[State]]),"Unknown",Table1[[#This Row],[State]])</f>
        <v>Delhi</v>
      </c>
      <c r="H118" t="s">
        <v>33</v>
      </c>
      <c r="I118" t="s">
        <v>21</v>
      </c>
      <c r="J118" t="str">
        <f>IF(ISBLANK(Table1[[#This Row],[Product]]),"Unknown",Table1[[#This Row],[Product]])</f>
        <v>Headphones</v>
      </c>
      <c r="K118" s="3">
        <v>3</v>
      </c>
      <c r="L118" s="10">
        <v>1299</v>
      </c>
      <c r="M118" t="s">
        <v>26</v>
      </c>
      <c r="N118" t="str">
        <f>IF(ISBLANK(Table1[[#This Row],[Payment method]]),"Unknown",Table1[[#This Row],[Payment method]])</f>
        <v>Card</v>
      </c>
      <c r="O118" t="s">
        <v>17</v>
      </c>
      <c r="P118" t="str">
        <f>IF(Table1[[#This Row],[Unit price]]&gt;2000,"High Price","Standard Price")</f>
        <v>Standard Price</v>
      </c>
    </row>
    <row r="119" spans="1:16" x14ac:dyDescent="0.3">
      <c r="A119" s="3">
        <v>10118</v>
      </c>
      <c r="B119" s="1">
        <v>45782</v>
      </c>
      <c r="C119" s="3" t="s">
        <v>125</v>
      </c>
      <c r="D119" s="3" t="s">
        <v>57</v>
      </c>
      <c r="E119" t="s">
        <v>247</v>
      </c>
      <c r="F119" t="s">
        <v>36</v>
      </c>
      <c r="G119" t="str">
        <f>IF(ISBLANK(Table1[[#This Row],[State]]),"Unknown",Table1[[#This Row],[State]])</f>
        <v>Maharastra</v>
      </c>
      <c r="H119" t="s">
        <v>33</v>
      </c>
      <c r="I119" t="s">
        <v>21</v>
      </c>
      <c r="J119" t="str">
        <f>IF(ISBLANK(Table1[[#This Row],[Product]]),"Unknown",Table1[[#This Row],[Product]])</f>
        <v>Headphones</v>
      </c>
      <c r="K119" s="3">
        <v>1</v>
      </c>
      <c r="L119" s="10">
        <v>299</v>
      </c>
      <c r="M119" t="s">
        <v>4</v>
      </c>
      <c r="N119" t="str">
        <f>IF(ISBLANK(Table1[[#This Row],[Payment method]]),"Unknown",Table1[[#This Row],[Payment method]])</f>
        <v>Net Banking</v>
      </c>
      <c r="O119" t="s">
        <v>17</v>
      </c>
      <c r="P119" t="str">
        <f>IF(Table1[[#This Row],[Unit price]]&gt;2000,"High Price","Standard Price")</f>
        <v>Standard Price</v>
      </c>
    </row>
    <row r="120" spans="1:16" x14ac:dyDescent="0.3">
      <c r="A120" s="3">
        <v>10119</v>
      </c>
      <c r="B120" s="1">
        <v>45785</v>
      </c>
      <c r="C120" s="3" t="s">
        <v>13</v>
      </c>
      <c r="D120" s="3" t="s">
        <v>39</v>
      </c>
      <c r="E120" t="s">
        <v>45</v>
      </c>
      <c r="F120" t="s">
        <v>54</v>
      </c>
      <c r="G120" t="str">
        <f>IF(ISBLANK(Table1[[#This Row],[State]]),"Unknown",Table1[[#This Row],[State]])</f>
        <v>Uttar Pradesh</v>
      </c>
      <c r="H120" t="s">
        <v>9</v>
      </c>
      <c r="I120" t="s">
        <v>10</v>
      </c>
      <c r="J120" t="str">
        <f>IF(ISBLANK(Table1[[#This Row],[Product]]),"Unknown",Table1[[#This Row],[Product]])</f>
        <v>Chair</v>
      </c>
      <c r="K120" s="3">
        <v>4</v>
      </c>
      <c r="L120" s="10">
        <v>799</v>
      </c>
      <c r="M120" t="s">
        <v>26</v>
      </c>
      <c r="N120" t="str">
        <f>IF(ISBLANK(Table1[[#This Row],[Payment method]]),"Unknown",Table1[[#This Row],[Payment method]])</f>
        <v>Card</v>
      </c>
      <c r="O120" t="s">
        <v>12</v>
      </c>
      <c r="P120" t="str">
        <f>IF(Table1[[#This Row],[Unit price]]&gt;2000,"High Price","Standard Price")</f>
        <v>Standard Price</v>
      </c>
    </row>
    <row r="121" spans="1:16" x14ac:dyDescent="0.3">
      <c r="A121" s="3">
        <v>10120</v>
      </c>
      <c r="B121" s="1">
        <v>45832</v>
      </c>
      <c r="C121" s="3" t="s">
        <v>126</v>
      </c>
      <c r="D121" s="3" t="s">
        <v>1</v>
      </c>
      <c r="E121" t="s">
        <v>32</v>
      </c>
      <c r="F121" t="s">
        <v>15</v>
      </c>
      <c r="G121" t="str">
        <f>IF(ISBLANK(Table1[[#This Row],[State]]),"Unknown",Table1[[#This Row],[State]])</f>
        <v>Maharashtra</v>
      </c>
      <c r="H121" t="s">
        <v>2</v>
      </c>
      <c r="I121" t="s">
        <v>24</v>
      </c>
      <c r="J121" t="str">
        <f>IF(ISBLANK(Table1[[#This Row],[Product]]),"Unknown",Table1[[#This Row],[Product]])</f>
        <v>Jeans</v>
      </c>
      <c r="K121" s="3">
        <v>4</v>
      </c>
      <c r="L121" s="10">
        <v>1999</v>
      </c>
      <c r="N121" t="str">
        <f>IF(ISBLANK(Table1[[#This Row],[Payment method]]),"Unknown",Table1[[#This Row],[Payment method]])</f>
        <v>Unknown</v>
      </c>
      <c r="O121" t="s">
        <v>58</v>
      </c>
      <c r="P121" t="str">
        <f>IF(Table1[[#This Row],[Unit price]]&gt;2000,"High Price","Standard Price")</f>
        <v>Standard Price</v>
      </c>
    </row>
    <row r="122" spans="1:16" x14ac:dyDescent="0.3">
      <c r="A122" s="3">
        <v>10121</v>
      </c>
      <c r="B122" s="1">
        <v>45687</v>
      </c>
      <c r="C122" s="3" t="s">
        <v>44</v>
      </c>
      <c r="D122" s="3" t="s">
        <v>39</v>
      </c>
      <c r="E122" t="s">
        <v>45</v>
      </c>
      <c r="F122" t="s">
        <v>54</v>
      </c>
      <c r="G122" t="str">
        <f>IF(ISBLANK(Table1[[#This Row],[State]]),"Unknown",Table1[[#This Row],[State]])</f>
        <v>Uttar Pradesh</v>
      </c>
      <c r="H122" t="s">
        <v>9</v>
      </c>
      <c r="I122" t="s">
        <v>16</v>
      </c>
      <c r="J122" t="str">
        <f>IF(ISBLANK(Table1[[#This Row],[Product]]),"Unknown",Table1[[#This Row],[Product]])</f>
        <v>Lamp</v>
      </c>
      <c r="K122" s="3">
        <v>5</v>
      </c>
      <c r="L122" s="10">
        <v>299</v>
      </c>
      <c r="M122" t="s">
        <v>4</v>
      </c>
      <c r="N122" t="str">
        <f>IF(ISBLANK(Table1[[#This Row],[Payment method]]),"Unknown",Table1[[#This Row],[Payment method]])</f>
        <v>Net Banking</v>
      </c>
      <c r="O122" t="s">
        <v>58</v>
      </c>
      <c r="P122" t="str">
        <f>IF(Table1[[#This Row],[Unit price]]&gt;2000,"High Price","Standard Price")</f>
        <v>Standard Price</v>
      </c>
    </row>
    <row r="123" spans="1:16" x14ac:dyDescent="0.3">
      <c r="A123" s="3">
        <v>10122</v>
      </c>
      <c r="B123" s="1">
        <v>45779</v>
      </c>
      <c r="C123" s="3" t="s">
        <v>127</v>
      </c>
      <c r="D123" s="3" t="s">
        <v>1</v>
      </c>
      <c r="E123" t="s">
        <v>247</v>
      </c>
      <c r="F123" t="s">
        <v>15</v>
      </c>
      <c r="G123" t="str">
        <f>IF(ISBLANK(Table1[[#This Row],[State]]),"Unknown",Table1[[#This Row],[State]])</f>
        <v>Maharashtra</v>
      </c>
      <c r="H123" t="s">
        <v>9</v>
      </c>
      <c r="I123" t="s">
        <v>10</v>
      </c>
      <c r="J123" t="str">
        <f>IF(ISBLANK(Table1[[#This Row],[Product]]),"Unknown",Table1[[#This Row],[Product]])</f>
        <v>Chair</v>
      </c>
      <c r="K123" s="3">
        <v>4</v>
      </c>
      <c r="L123" s="10">
        <v>799</v>
      </c>
      <c r="M123" t="s">
        <v>11</v>
      </c>
      <c r="N123" t="str">
        <f>IF(ISBLANK(Table1[[#This Row],[Payment method]]),"Unknown",Table1[[#This Row],[Payment method]])</f>
        <v>Cash on Delivery</v>
      </c>
      <c r="O123" t="s">
        <v>17</v>
      </c>
      <c r="P123" t="str">
        <f>IF(Table1[[#This Row],[Unit price]]&gt;2000,"High Price","Standard Price")</f>
        <v>Standard Price</v>
      </c>
    </row>
    <row r="124" spans="1:16" x14ac:dyDescent="0.3">
      <c r="A124" s="3">
        <v>10123</v>
      </c>
      <c r="B124" s="1">
        <v>45707</v>
      </c>
      <c r="C124" s="3" t="s">
        <v>125</v>
      </c>
      <c r="D124" s="3" t="s">
        <v>57</v>
      </c>
      <c r="E124" t="s">
        <v>247</v>
      </c>
      <c r="F124" t="s">
        <v>36</v>
      </c>
      <c r="G124" t="str">
        <f>IF(ISBLANK(Table1[[#This Row],[State]]),"Unknown",Table1[[#This Row],[State]])</f>
        <v>Maharastra</v>
      </c>
      <c r="H124" t="s">
        <v>9</v>
      </c>
      <c r="I124" t="s">
        <v>16</v>
      </c>
      <c r="J124" t="str">
        <f>IF(ISBLANK(Table1[[#This Row],[Product]]),"Unknown",Table1[[#This Row],[Product]])</f>
        <v>Lamp</v>
      </c>
      <c r="K124" s="3">
        <v>4</v>
      </c>
      <c r="L124" s="10">
        <v>799</v>
      </c>
      <c r="M124" t="s">
        <v>11</v>
      </c>
      <c r="N124" t="str">
        <f>IF(ISBLANK(Table1[[#This Row],[Payment method]]),"Unknown",Table1[[#This Row],[Payment method]])</f>
        <v>Cash on Delivery</v>
      </c>
      <c r="O124" t="s">
        <v>12</v>
      </c>
      <c r="P124" t="str">
        <f>IF(Table1[[#This Row],[Unit price]]&gt;2000,"High Price","Standard Price")</f>
        <v>Standard Price</v>
      </c>
    </row>
    <row r="125" spans="1:16" x14ac:dyDescent="0.3">
      <c r="A125" s="3">
        <v>10124</v>
      </c>
      <c r="B125" s="1">
        <v>45805</v>
      </c>
      <c r="C125" s="3" t="s">
        <v>128</v>
      </c>
      <c r="D125" s="3" t="s">
        <v>57</v>
      </c>
      <c r="E125" t="s">
        <v>20</v>
      </c>
      <c r="G125" t="str">
        <f>IF(ISBLANK(Table1[[#This Row],[State]]),"Unknown",Table1[[#This Row],[State]])</f>
        <v>Unknown</v>
      </c>
      <c r="H125" t="s">
        <v>2</v>
      </c>
      <c r="I125" t="s">
        <v>3</v>
      </c>
      <c r="J125" t="str">
        <f>IF(ISBLANK(Table1[[#This Row],[Product]]),"Unknown",Table1[[#This Row],[Product]])</f>
        <v>T-Shirt</v>
      </c>
      <c r="K125" s="3">
        <v>3</v>
      </c>
      <c r="L125" s="10">
        <v>299</v>
      </c>
      <c r="N125" t="str">
        <f>IF(ISBLANK(Table1[[#This Row],[Payment method]]),"Unknown",Table1[[#This Row],[Payment method]])</f>
        <v>Unknown</v>
      </c>
      <c r="O125" t="s">
        <v>58</v>
      </c>
      <c r="P125" t="str">
        <f>IF(Table1[[#This Row],[Unit price]]&gt;2000,"High Price","Standard Price")</f>
        <v>Standard Price</v>
      </c>
    </row>
    <row r="126" spans="1:16" x14ac:dyDescent="0.3">
      <c r="A126" s="3">
        <v>10125</v>
      </c>
      <c r="B126" s="1">
        <v>45745</v>
      </c>
      <c r="C126" s="3" t="s">
        <v>63</v>
      </c>
      <c r="D126" s="3" t="s">
        <v>23</v>
      </c>
      <c r="E126" t="s">
        <v>32</v>
      </c>
      <c r="F126" t="s">
        <v>36</v>
      </c>
      <c r="G126" t="str">
        <f>IF(ISBLANK(Table1[[#This Row],[State]]),"Unknown",Table1[[#This Row],[State]])</f>
        <v>Maharastra</v>
      </c>
      <c r="H126" t="s">
        <v>2</v>
      </c>
      <c r="I126" t="s">
        <v>24</v>
      </c>
      <c r="J126" t="str">
        <f>IF(ISBLANK(Table1[[#This Row],[Product]]),"Unknown",Table1[[#This Row],[Product]])</f>
        <v>Jeans</v>
      </c>
      <c r="K126" s="3">
        <v>5</v>
      </c>
      <c r="L126" s="10">
        <v>499</v>
      </c>
      <c r="M126" t="s">
        <v>11</v>
      </c>
      <c r="N126" t="str">
        <f>IF(ISBLANK(Table1[[#This Row],[Payment method]]),"Unknown",Table1[[#This Row],[Payment method]])</f>
        <v>Cash on Delivery</v>
      </c>
      <c r="O126" t="s">
        <v>5</v>
      </c>
      <c r="P126" t="str">
        <f>IF(Table1[[#This Row],[Unit price]]&gt;2000,"High Price","Standard Price")</f>
        <v>Standard Price</v>
      </c>
    </row>
    <row r="127" spans="1:16" x14ac:dyDescent="0.3">
      <c r="A127" s="3">
        <v>10126</v>
      </c>
      <c r="B127" s="1">
        <v>45782</v>
      </c>
      <c r="C127" s="3" t="s">
        <v>129</v>
      </c>
      <c r="D127" s="3" t="s">
        <v>7</v>
      </c>
      <c r="E127" t="s">
        <v>45</v>
      </c>
      <c r="F127" t="s">
        <v>54</v>
      </c>
      <c r="G127" t="str">
        <f>IF(ISBLANK(Table1[[#This Row],[State]]),"Unknown",Table1[[#This Row],[State]])</f>
        <v>Uttar Pradesh</v>
      </c>
      <c r="H127" t="s">
        <v>33</v>
      </c>
      <c r="I127" t="s">
        <v>37</v>
      </c>
      <c r="J127" t="str">
        <f>IF(ISBLANK(Table1[[#This Row],[Product]]),"Unknown",Table1[[#This Row],[Product]])</f>
        <v>Mouse</v>
      </c>
      <c r="K127" s="3">
        <v>1</v>
      </c>
      <c r="L127" s="10">
        <v>499</v>
      </c>
      <c r="N127" t="str">
        <f>IF(ISBLANK(Table1[[#This Row],[Payment method]]),"Unknown",Table1[[#This Row],[Payment method]])</f>
        <v>Unknown</v>
      </c>
      <c r="O127" t="s">
        <v>58</v>
      </c>
      <c r="P127" t="str">
        <f>IF(Table1[[#This Row],[Unit price]]&gt;2000,"High Price","Standard Price")</f>
        <v>Standard Price</v>
      </c>
    </row>
    <row r="128" spans="1:16" x14ac:dyDescent="0.3">
      <c r="A128" s="3">
        <v>10127</v>
      </c>
      <c r="B128" s="1">
        <v>45804</v>
      </c>
      <c r="C128" s="3" t="s">
        <v>130</v>
      </c>
      <c r="D128" s="3" t="s">
        <v>1</v>
      </c>
      <c r="E128" t="s">
        <v>45</v>
      </c>
      <c r="F128" t="s">
        <v>54</v>
      </c>
      <c r="G128" t="str">
        <f>IF(ISBLANK(Table1[[#This Row],[State]]),"Unknown",Table1[[#This Row],[State]])</f>
        <v>Uttar Pradesh</v>
      </c>
      <c r="H128" t="s">
        <v>9</v>
      </c>
      <c r="I128" t="s">
        <v>10</v>
      </c>
      <c r="J128" t="str">
        <f>IF(ISBLANK(Table1[[#This Row],[Product]]),"Unknown",Table1[[#This Row],[Product]])</f>
        <v>Chair</v>
      </c>
      <c r="K128" s="3">
        <v>2</v>
      </c>
      <c r="L128" s="10">
        <v>299</v>
      </c>
      <c r="N128" t="str">
        <f>IF(ISBLANK(Table1[[#This Row],[Payment method]]),"Unknown",Table1[[#This Row],[Payment method]])</f>
        <v>Unknown</v>
      </c>
      <c r="O128" t="s">
        <v>17</v>
      </c>
      <c r="P128" t="str">
        <f>IF(Table1[[#This Row],[Unit price]]&gt;2000,"High Price","Standard Price")</f>
        <v>Standard Price</v>
      </c>
    </row>
    <row r="129" spans="1:16" x14ac:dyDescent="0.3">
      <c r="A129" s="3">
        <v>10128</v>
      </c>
      <c r="B129" s="1">
        <v>45812</v>
      </c>
      <c r="C129" s="3" t="s">
        <v>60</v>
      </c>
      <c r="D129" s="3" t="s">
        <v>19</v>
      </c>
      <c r="E129" t="s">
        <v>8</v>
      </c>
      <c r="F129" t="s">
        <v>52</v>
      </c>
      <c r="G129" t="str">
        <f>IF(ISBLANK(Table1[[#This Row],[State]]),"Unknown",Table1[[#This Row],[State]])</f>
        <v>Karnataka</v>
      </c>
      <c r="H129" t="s">
        <v>2</v>
      </c>
      <c r="I129" t="s">
        <v>24</v>
      </c>
      <c r="J129" t="str">
        <f>IF(ISBLANK(Table1[[#This Row],[Product]]),"Unknown",Table1[[#This Row],[Product]])</f>
        <v>Jeans</v>
      </c>
      <c r="K129" s="3">
        <v>2</v>
      </c>
      <c r="L129" s="10">
        <v>799</v>
      </c>
      <c r="N129" t="str">
        <f>IF(ISBLANK(Table1[[#This Row],[Payment method]]),"Unknown",Table1[[#This Row],[Payment method]])</f>
        <v>Unknown</v>
      </c>
      <c r="O129" t="s">
        <v>12</v>
      </c>
      <c r="P129" t="str">
        <f>IF(Table1[[#This Row],[Unit price]]&gt;2000,"High Price","Standard Price")</f>
        <v>Standard Price</v>
      </c>
    </row>
    <row r="130" spans="1:16" x14ac:dyDescent="0.3">
      <c r="A130" s="3">
        <v>10129</v>
      </c>
      <c r="B130" s="1">
        <v>45712</v>
      </c>
      <c r="C130" s="3" t="s">
        <v>131</v>
      </c>
      <c r="D130" s="3" t="s">
        <v>57</v>
      </c>
      <c r="E130" t="s">
        <v>20</v>
      </c>
      <c r="F130" t="s">
        <v>20</v>
      </c>
      <c r="G130" t="str">
        <f>IF(ISBLANK(Table1[[#This Row],[State]]),"Unknown",Table1[[#This Row],[State]])</f>
        <v>Delhi</v>
      </c>
      <c r="H130" t="s">
        <v>2</v>
      </c>
      <c r="I130" t="s">
        <v>3</v>
      </c>
      <c r="J130" t="str">
        <f>IF(ISBLANK(Table1[[#This Row],[Product]]),"Unknown",Table1[[#This Row],[Product]])</f>
        <v>T-Shirt</v>
      </c>
      <c r="K130" s="3">
        <v>5</v>
      </c>
      <c r="L130" s="10">
        <v>799</v>
      </c>
      <c r="N130" t="str">
        <f>IF(ISBLANK(Table1[[#This Row],[Payment method]]),"Unknown",Table1[[#This Row],[Payment method]])</f>
        <v>Unknown</v>
      </c>
      <c r="O130" t="s">
        <v>12</v>
      </c>
      <c r="P130" t="str">
        <f>IF(Table1[[#This Row],[Unit price]]&gt;2000,"High Price","Standard Price")</f>
        <v>Standard Price</v>
      </c>
    </row>
    <row r="131" spans="1:16" x14ac:dyDescent="0.3">
      <c r="A131" s="3">
        <v>10130</v>
      </c>
      <c r="B131" s="1">
        <v>45800</v>
      </c>
      <c r="C131" s="3" t="s">
        <v>132</v>
      </c>
      <c r="D131" s="3" t="s">
        <v>1</v>
      </c>
      <c r="E131" t="s">
        <v>20</v>
      </c>
      <c r="F131" t="s">
        <v>20</v>
      </c>
      <c r="G131" t="str">
        <f>IF(ISBLANK(Table1[[#This Row],[State]]),"Unknown",Table1[[#This Row],[State]])</f>
        <v>Delhi</v>
      </c>
      <c r="H131" t="s">
        <v>9</v>
      </c>
      <c r="I131" t="s">
        <v>10</v>
      </c>
      <c r="J131" t="str">
        <f>IF(ISBLANK(Table1[[#This Row],[Product]]),"Unknown",Table1[[#This Row],[Product]])</f>
        <v>Chair</v>
      </c>
      <c r="K131" s="3">
        <v>4</v>
      </c>
      <c r="L131" s="10">
        <v>1299</v>
      </c>
      <c r="N131" t="str">
        <f>IF(ISBLANK(Table1[[#This Row],[Payment method]]),"Unknown",Table1[[#This Row],[Payment method]])</f>
        <v>Unknown</v>
      </c>
      <c r="O131" t="s">
        <v>12</v>
      </c>
      <c r="P131" t="str">
        <f>IF(Table1[[#This Row],[Unit price]]&gt;2000,"High Price","Standard Price")</f>
        <v>Standard Price</v>
      </c>
    </row>
    <row r="132" spans="1:16" x14ac:dyDescent="0.3">
      <c r="A132" s="3">
        <v>10131</v>
      </c>
      <c r="B132" s="1">
        <v>45837</v>
      </c>
      <c r="C132" s="3" t="s">
        <v>133</v>
      </c>
      <c r="D132" s="3" t="s">
        <v>1</v>
      </c>
      <c r="E132" t="s">
        <v>45</v>
      </c>
      <c r="F132" t="s">
        <v>54</v>
      </c>
      <c r="G132" t="str">
        <f>IF(ISBLANK(Table1[[#This Row],[State]]),"Unknown",Table1[[#This Row],[State]])</f>
        <v>Uttar Pradesh</v>
      </c>
      <c r="H132" t="s">
        <v>33</v>
      </c>
      <c r="I132" t="s">
        <v>37</v>
      </c>
      <c r="J132" t="str">
        <f>IF(ISBLANK(Table1[[#This Row],[Product]]),"Unknown",Table1[[#This Row],[Product]])</f>
        <v>Mouse</v>
      </c>
      <c r="K132" s="3">
        <v>5</v>
      </c>
      <c r="L132" s="10">
        <v>799</v>
      </c>
      <c r="M132" t="s">
        <v>26</v>
      </c>
      <c r="N132" t="str">
        <f>IF(ISBLANK(Table1[[#This Row],[Payment method]]),"Unknown",Table1[[#This Row],[Payment method]])</f>
        <v>Card</v>
      </c>
      <c r="O132" t="s">
        <v>17</v>
      </c>
      <c r="P132" t="str">
        <f>IF(Table1[[#This Row],[Unit price]]&gt;2000,"High Price","Standard Price")</f>
        <v>Standard Price</v>
      </c>
    </row>
    <row r="133" spans="1:16" x14ac:dyDescent="0.3">
      <c r="A133" s="3">
        <v>10132</v>
      </c>
      <c r="B133" s="1">
        <v>45685</v>
      </c>
      <c r="C133" s="3" t="s">
        <v>123</v>
      </c>
      <c r="D133" s="3" t="s">
        <v>57</v>
      </c>
      <c r="E133" t="s">
        <v>248</v>
      </c>
      <c r="F133" t="s">
        <v>52</v>
      </c>
      <c r="G133" t="str">
        <f>IF(ISBLANK(Table1[[#This Row],[State]]),"Unknown",Table1[[#This Row],[State]])</f>
        <v>Karnataka</v>
      </c>
      <c r="H133" t="s">
        <v>2</v>
      </c>
      <c r="I133" t="s">
        <v>3</v>
      </c>
      <c r="J133" t="str">
        <f>IF(ISBLANK(Table1[[#This Row],[Product]]),"Unknown",Table1[[#This Row],[Product]])</f>
        <v>T-Shirt</v>
      </c>
      <c r="K133" s="3">
        <v>2</v>
      </c>
      <c r="L133" s="10">
        <v>1999</v>
      </c>
      <c r="M133" t="s">
        <v>11</v>
      </c>
      <c r="N133" t="str">
        <f>IF(ISBLANK(Table1[[#This Row],[Payment method]]),"Unknown",Table1[[#This Row],[Payment method]])</f>
        <v>Cash on Delivery</v>
      </c>
      <c r="O133" t="s">
        <v>12</v>
      </c>
      <c r="P133" t="str">
        <f>IF(Table1[[#This Row],[Unit price]]&gt;2000,"High Price","Standard Price")</f>
        <v>Standard Price</v>
      </c>
    </row>
    <row r="134" spans="1:16" x14ac:dyDescent="0.3">
      <c r="A134" s="3">
        <v>10133</v>
      </c>
      <c r="B134" s="1">
        <v>45822</v>
      </c>
      <c r="C134" s="3" t="s">
        <v>127</v>
      </c>
      <c r="D134" s="3" t="s">
        <v>1</v>
      </c>
      <c r="E134" t="s">
        <v>32</v>
      </c>
      <c r="F134" t="s">
        <v>15</v>
      </c>
      <c r="G134" t="str">
        <f>IF(ISBLANK(Table1[[#This Row],[State]]),"Unknown",Table1[[#This Row],[State]])</f>
        <v>Maharashtra</v>
      </c>
      <c r="H134" t="s">
        <v>33</v>
      </c>
      <c r="I134" t="s">
        <v>21</v>
      </c>
      <c r="J134" t="str">
        <f>IF(ISBLANK(Table1[[#This Row],[Product]]),"Unknown",Table1[[#This Row],[Product]])</f>
        <v>Headphones</v>
      </c>
      <c r="K134" s="3">
        <v>3</v>
      </c>
      <c r="L134" s="10">
        <v>1999</v>
      </c>
      <c r="M134" t="s">
        <v>4</v>
      </c>
      <c r="N134" t="str">
        <f>IF(ISBLANK(Table1[[#This Row],[Payment method]]),"Unknown",Table1[[#This Row],[Payment method]])</f>
        <v>Net Banking</v>
      </c>
      <c r="O134" t="s">
        <v>5</v>
      </c>
      <c r="P134" t="str">
        <f>IF(Table1[[#This Row],[Unit price]]&gt;2000,"High Price","Standard Price")</f>
        <v>Standard Price</v>
      </c>
    </row>
    <row r="135" spans="1:16" x14ac:dyDescent="0.3">
      <c r="A135" s="3">
        <v>10134</v>
      </c>
      <c r="B135" s="1">
        <v>45771</v>
      </c>
      <c r="C135" s="3" t="s">
        <v>128</v>
      </c>
      <c r="D135" s="3" t="s">
        <v>43</v>
      </c>
      <c r="E135" t="s">
        <v>249</v>
      </c>
      <c r="G135" t="str">
        <f>IF(ISBLANK(Table1[[#This Row],[State]]),"Unknown",Table1[[#This Row],[State]])</f>
        <v>Unknown</v>
      </c>
      <c r="H135" t="s">
        <v>2</v>
      </c>
      <c r="I135" t="s">
        <v>24</v>
      </c>
      <c r="J135" t="str">
        <f>IF(ISBLANK(Table1[[#This Row],[Product]]),"Unknown",Table1[[#This Row],[Product]])</f>
        <v>Jeans</v>
      </c>
      <c r="K135" s="3">
        <v>5</v>
      </c>
      <c r="L135" s="10">
        <v>1999</v>
      </c>
      <c r="N135" t="str">
        <f>IF(ISBLANK(Table1[[#This Row],[Payment method]]),"Unknown",Table1[[#This Row],[Payment method]])</f>
        <v>Unknown</v>
      </c>
      <c r="O135" t="s">
        <v>58</v>
      </c>
      <c r="P135" t="str">
        <f>IF(Table1[[#This Row],[Unit price]]&gt;2000,"High Price","Standard Price")</f>
        <v>Standard Price</v>
      </c>
    </row>
    <row r="136" spans="1:16" x14ac:dyDescent="0.3">
      <c r="A136" s="3">
        <v>10135</v>
      </c>
      <c r="B136" s="1">
        <v>45808</v>
      </c>
      <c r="C136" s="3" t="s">
        <v>18</v>
      </c>
      <c r="D136" s="3" t="s">
        <v>23</v>
      </c>
      <c r="E136" t="s">
        <v>35</v>
      </c>
      <c r="F136" t="s">
        <v>15</v>
      </c>
      <c r="G136" t="str">
        <f>IF(ISBLANK(Table1[[#This Row],[State]]),"Unknown",Table1[[#This Row],[State]])</f>
        <v>Maharashtra</v>
      </c>
      <c r="H136" t="s">
        <v>9</v>
      </c>
      <c r="I136" t="s">
        <v>16</v>
      </c>
      <c r="J136" t="str">
        <f>IF(ISBLANK(Table1[[#This Row],[Product]]),"Unknown",Table1[[#This Row],[Product]])</f>
        <v>Lamp</v>
      </c>
      <c r="K136" s="3">
        <v>2</v>
      </c>
      <c r="L136" s="10">
        <v>499</v>
      </c>
      <c r="M136" t="s">
        <v>4</v>
      </c>
      <c r="N136" t="str">
        <f>IF(ISBLANK(Table1[[#This Row],[Payment method]]),"Unknown",Table1[[#This Row],[Payment method]])</f>
        <v>Net Banking</v>
      </c>
      <c r="O136" t="s">
        <v>5</v>
      </c>
      <c r="P136" t="str">
        <f>IF(Table1[[#This Row],[Unit price]]&gt;2000,"High Price","Standard Price")</f>
        <v>Standard Price</v>
      </c>
    </row>
    <row r="137" spans="1:16" x14ac:dyDescent="0.3">
      <c r="A137" s="3">
        <v>10136</v>
      </c>
      <c r="B137" s="1">
        <v>45693</v>
      </c>
      <c r="C137" s="3" t="s">
        <v>64</v>
      </c>
      <c r="D137" s="3" t="s">
        <v>1</v>
      </c>
      <c r="E137" t="s">
        <v>45</v>
      </c>
      <c r="F137" t="s">
        <v>54</v>
      </c>
      <c r="G137" t="str">
        <f>IF(ISBLANK(Table1[[#This Row],[State]]),"Unknown",Table1[[#This Row],[State]])</f>
        <v>Uttar Pradesh</v>
      </c>
      <c r="H137" t="s">
        <v>33</v>
      </c>
      <c r="I137" t="s">
        <v>37</v>
      </c>
      <c r="J137" t="str">
        <f>IF(ISBLANK(Table1[[#This Row],[Product]]),"Unknown",Table1[[#This Row],[Product]])</f>
        <v>Mouse</v>
      </c>
      <c r="K137" s="3">
        <v>2</v>
      </c>
      <c r="L137" s="10">
        <v>1999</v>
      </c>
      <c r="N137" t="str">
        <f>IF(ISBLANK(Table1[[#This Row],[Payment method]]),"Unknown",Table1[[#This Row],[Payment method]])</f>
        <v>Unknown</v>
      </c>
      <c r="O137" t="s">
        <v>12</v>
      </c>
      <c r="P137" t="str">
        <f>IF(Table1[[#This Row],[Unit price]]&gt;2000,"High Price","Standard Price")</f>
        <v>Standard Price</v>
      </c>
    </row>
    <row r="138" spans="1:16" x14ac:dyDescent="0.3">
      <c r="A138" s="3">
        <v>10137</v>
      </c>
      <c r="B138" s="1">
        <v>45753</v>
      </c>
      <c r="C138" s="3" t="s">
        <v>98</v>
      </c>
      <c r="D138" s="3" t="s">
        <v>23</v>
      </c>
      <c r="E138" t="s">
        <v>8</v>
      </c>
      <c r="F138" t="s">
        <v>52</v>
      </c>
      <c r="G138" t="str">
        <f>IF(ISBLANK(Table1[[#This Row],[State]]),"Unknown",Table1[[#This Row],[State]])</f>
        <v>Karnataka</v>
      </c>
      <c r="H138" t="s">
        <v>9</v>
      </c>
      <c r="I138" t="s">
        <v>16</v>
      </c>
      <c r="J138" t="str">
        <f>IF(ISBLANK(Table1[[#This Row],[Product]]),"Unknown",Table1[[#This Row],[Product]])</f>
        <v>Lamp</v>
      </c>
      <c r="K138" s="3">
        <v>2</v>
      </c>
      <c r="L138" s="10">
        <v>299</v>
      </c>
      <c r="N138" t="str">
        <f>IF(ISBLANK(Table1[[#This Row],[Payment method]]),"Unknown",Table1[[#This Row],[Payment method]])</f>
        <v>Unknown</v>
      </c>
      <c r="O138" t="s">
        <v>12</v>
      </c>
      <c r="P138" t="str">
        <f>IF(Table1[[#This Row],[Unit price]]&gt;2000,"High Price","Standard Price")</f>
        <v>Standard Price</v>
      </c>
    </row>
    <row r="139" spans="1:16" x14ac:dyDescent="0.3">
      <c r="A139" s="3">
        <v>10138</v>
      </c>
      <c r="B139" s="1">
        <v>45718</v>
      </c>
      <c r="C139" s="3" t="s">
        <v>65</v>
      </c>
      <c r="D139" s="3" t="s">
        <v>7</v>
      </c>
      <c r="E139" t="s">
        <v>45</v>
      </c>
      <c r="F139" t="s">
        <v>54</v>
      </c>
      <c r="G139" t="str">
        <f>IF(ISBLANK(Table1[[#This Row],[State]]),"Unknown",Table1[[#This Row],[State]])</f>
        <v>Uttar Pradesh</v>
      </c>
      <c r="H139" t="s">
        <v>2</v>
      </c>
      <c r="I139" t="s">
        <v>3</v>
      </c>
      <c r="J139" t="str">
        <f>IF(ISBLANK(Table1[[#This Row],[Product]]),"Unknown",Table1[[#This Row],[Product]])</f>
        <v>T-Shirt</v>
      </c>
      <c r="K139" s="3">
        <v>999</v>
      </c>
      <c r="L139" s="10">
        <v>1999</v>
      </c>
      <c r="N139" t="str">
        <f>IF(ISBLANK(Table1[[#This Row],[Payment method]]),"Unknown",Table1[[#This Row],[Payment method]])</f>
        <v>Unknown</v>
      </c>
      <c r="O139" t="s">
        <v>58</v>
      </c>
      <c r="P139" t="str">
        <f>IF(Table1[[#This Row],[Unit price]]&gt;2000,"High Price","Standard Price")</f>
        <v>Standard Price</v>
      </c>
    </row>
    <row r="140" spans="1:16" x14ac:dyDescent="0.3">
      <c r="A140" s="3">
        <v>10139</v>
      </c>
      <c r="B140" s="1">
        <v>45757</v>
      </c>
      <c r="C140" s="3" t="s">
        <v>130</v>
      </c>
      <c r="D140" s="3" t="s">
        <v>19</v>
      </c>
      <c r="E140" t="s">
        <v>45</v>
      </c>
      <c r="F140" t="s">
        <v>54</v>
      </c>
      <c r="G140" t="str">
        <f>IF(ISBLANK(Table1[[#This Row],[State]]),"Unknown",Table1[[#This Row],[State]])</f>
        <v>Uttar Pradesh</v>
      </c>
      <c r="H140" t="s">
        <v>2</v>
      </c>
      <c r="I140" t="s">
        <v>3</v>
      </c>
      <c r="J140" t="str">
        <f>IF(ISBLANK(Table1[[#This Row],[Product]]),"Unknown",Table1[[#This Row],[Product]])</f>
        <v>T-Shirt</v>
      </c>
      <c r="K140" s="3">
        <v>3</v>
      </c>
      <c r="L140" s="10">
        <v>799</v>
      </c>
      <c r="M140" t="s">
        <v>11</v>
      </c>
      <c r="N140" t="str">
        <f>IF(ISBLANK(Table1[[#This Row],[Payment method]]),"Unknown",Table1[[#This Row],[Payment method]])</f>
        <v>Cash on Delivery</v>
      </c>
      <c r="O140" t="s">
        <v>58</v>
      </c>
      <c r="P140" t="str">
        <f>IF(Table1[[#This Row],[Unit price]]&gt;2000,"High Price","Standard Price")</f>
        <v>Standard Price</v>
      </c>
    </row>
    <row r="141" spans="1:16" x14ac:dyDescent="0.3">
      <c r="A141" s="3">
        <v>10140</v>
      </c>
      <c r="B141" s="1">
        <v>45669</v>
      </c>
      <c r="C141" s="3" t="s">
        <v>134</v>
      </c>
      <c r="D141" s="3" t="s">
        <v>43</v>
      </c>
      <c r="E141" t="s">
        <v>45</v>
      </c>
      <c r="F141" t="s">
        <v>54</v>
      </c>
      <c r="G141" t="str">
        <f>IF(ISBLANK(Table1[[#This Row],[State]]),"Unknown",Table1[[#This Row],[State]])</f>
        <v>Uttar Pradesh</v>
      </c>
      <c r="H141" t="s">
        <v>33</v>
      </c>
      <c r="I141" t="s">
        <v>21</v>
      </c>
      <c r="J141" t="str">
        <f>IF(ISBLANK(Table1[[#This Row],[Product]]),"Unknown",Table1[[#This Row],[Product]])</f>
        <v>Headphones</v>
      </c>
      <c r="K141" s="3">
        <v>5</v>
      </c>
      <c r="L141" s="10">
        <v>499</v>
      </c>
      <c r="N141" t="str">
        <f>IF(ISBLANK(Table1[[#This Row],[Payment method]]),"Unknown",Table1[[#This Row],[Payment method]])</f>
        <v>Unknown</v>
      </c>
      <c r="O141" t="s">
        <v>17</v>
      </c>
      <c r="P141" t="str">
        <f>IF(Table1[[#This Row],[Unit price]]&gt;2000,"High Price","Standard Price")</f>
        <v>Standard Price</v>
      </c>
    </row>
    <row r="142" spans="1:16" x14ac:dyDescent="0.3">
      <c r="A142" s="3">
        <v>10141</v>
      </c>
      <c r="B142" s="1">
        <v>45836</v>
      </c>
      <c r="C142" s="3" t="s">
        <v>135</v>
      </c>
      <c r="D142" s="3" t="s">
        <v>1</v>
      </c>
      <c r="E142" t="s">
        <v>20</v>
      </c>
      <c r="F142" t="s">
        <v>20</v>
      </c>
      <c r="G142" t="str">
        <f>IF(ISBLANK(Table1[[#This Row],[State]]),"Unknown",Table1[[#This Row],[State]])</f>
        <v>Delhi</v>
      </c>
      <c r="H142" t="s">
        <v>9</v>
      </c>
      <c r="I142" t="s">
        <v>16</v>
      </c>
      <c r="J142" t="str">
        <f>IF(ISBLANK(Table1[[#This Row],[Product]]),"Unknown",Table1[[#This Row],[Product]])</f>
        <v>Lamp</v>
      </c>
      <c r="K142" s="3">
        <v>5</v>
      </c>
      <c r="L142" s="10">
        <v>1299</v>
      </c>
      <c r="M142" t="s">
        <v>4</v>
      </c>
      <c r="N142" t="str">
        <f>IF(ISBLANK(Table1[[#This Row],[Payment method]]),"Unknown",Table1[[#This Row],[Payment method]])</f>
        <v>Net Banking</v>
      </c>
      <c r="O142" t="s">
        <v>17</v>
      </c>
      <c r="P142" t="str">
        <f>IF(Table1[[#This Row],[Unit price]]&gt;2000,"High Price","Standard Price")</f>
        <v>Standard Price</v>
      </c>
    </row>
    <row r="143" spans="1:16" x14ac:dyDescent="0.3">
      <c r="A143" s="3">
        <v>10142</v>
      </c>
      <c r="B143" s="1">
        <v>45726</v>
      </c>
      <c r="C143" s="3" t="s">
        <v>136</v>
      </c>
      <c r="D143" s="3" t="s">
        <v>57</v>
      </c>
      <c r="E143" t="s">
        <v>20</v>
      </c>
      <c r="F143" t="s">
        <v>20</v>
      </c>
      <c r="G143" t="str">
        <f>IF(ISBLANK(Table1[[#This Row],[State]]),"Unknown",Table1[[#This Row],[State]])</f>
        <v>Delhi</v>
      </c>
      <c r="H143" t="s">
        <v>33</v>
      </c>
      <c r="I143" t="s">
        <v>21</v>
      </c>
      <c r="J143" t="str">
        <f>IF(ISBLANK(Table1[[#This Row],[Product]]),"Unknown",Table1[[#This Row],[Product]])</f>
        <v>Headphones</v>
      </c>
      <c r="K143" s="3">
        <v>3</v>
      </c>
      <c r="L143" s="10">
        <v>1299</v>
      </c>
      <c r="M143" t="s">
        <v>4</v>
      </c>
      <c r="N143" t="str">
        <f>IF(ISBLANK(Table1[[#This Row],[Payment method]]),"Unknown",Table1[[#This Row],[Payment method]])</f>
        <v>Net Banking</v>
      </c>
      <c r="O143" t="s">
        <v>17</v>
      </c>
      <c r="P143" t="str">
        <f>IF(Table1[[#This Row],[Unit price]]&gt;2000,"High Price","Standard Price")</f>
        <v>Standard Price</v>
      </c>
    </row>
    <row r="144" spans="1:16" x14ac:dyDescent="0.3">
      <c r="A144" s="3">
        <v>10143</v>
      </c>
      <c r="B144" s="1">
        <v>45739</v>
      </c>
      <c r="C144" s="3" t="s">
        <v>100</v>
      </c>
      <c r="D144" s="3" t="s">
        <v>57</v>
      </c>
      <c r="E144" t="s">
        <v>32</v>
      </c>
      <c r="F144" t="s">
        <v>15</v>
      </c>
      <c r="G144" t="str">
        <f>IF(ISBLANK(Table1[[#This Row],[State]]),"Unknown",Table1[[#This Row],[State]])</f>
        <v>Maharashtra</v>
      </c>
      <c r="H144" t="s">
        <v>2</v>
      </c>
      <c r="I144" t="s">
        <v>24</v>
      </c>
      <c r="J144" t="str">
        <f>IF(ISBLANK(Table1[[#This Row],[Product]]),"Unknown",Table1[[#This Row],[Product]])</f>
        <v>Jeans</v>
      </c>
      <c r="K144" s="3">
        <v>1</v>
      </c>
      <c r="L144" s="10">
        <v>799</v>
      </c>
      <c r="N144" t="str">
        <f>IF(ISBLANK(Table1[[#This Row],[Payment method]]),"Unknown",Table1[[#This Row],[Payment method]])</f>
        <v>Unknown</v>
      </c>
      <c r="O144" t="s">
        <v>12</v>
      </c>
      <c r="P144" t="str">
        <f>IF(Table1[[#This Row],[Unit price]]&gt;2000,"High Price","Standard Price")</f>
        <v>Standard Price</v>
      </c>
    </row>
    <row r="145" spans="1:16" x14ac:dyDescent="0.3">
      <c r="A145" s="3">
        <v>10144</v>
      </c>
      <c r="B145" s="1">
        <v>45777</v>
      </c>
      <c r="C145" s="3" t="s">
        <v>130</v>
      </c>
      <c r="D145" s="3" t="s">
        <v>19</v>
      </c>
      <c r="E145" t="s">
        <v>248</v>
      </c>
      <c r="F145" t="s">
        <v>52</v>
      </c>
      <c r="G145" t="str">
        <f>IF(ISBLANK(Table1[[#This Row],[State]]),"Unknown",Table1[[#This Row],[State]])</f>
        <v>Karnataka</v>
      </c>
      <c r="H145" t="s">
        <v>9</v>
      </c>
      <c r="I145" t="s">
        <v>10</v>
      </c>
      <c r="J145" t="str">
        <f>IF(ISBLANK(Table1[[#This Row],[Product]]),"Unknown",Table1[[#This Row],[Product]])</f>
        <v>Chair</v>
      </c>
      <c r="K145" s="3">
        <v>3</v>
      </c>
      <c r="L145" s="10">
        <v>299</v>
      </c>
      <c r="N145" t="str">
        <f>IF(ISBLANK(Table1[[#This Row],[Payment method]]),"Unknown",Table1[[#This Row],[Payment method]])</f>
        <v>Unknown</v>
      </c>
      <c r="O145" t="s">
        <v>5</v>
      </c>
      <c r="P145" t="str">
        <f>IF(Table1[[#This Row],[Unit price]]&gt;2000,"High Price","Standard Price")</f>
        <v>Standard Price</v>
      </c>
    </row>
    <row r="146" spans="1:16" x14ac:dyDescent="0.3">
      <c r="A146" s="3">
        <v>10145</v>
      </c>
      <c r="B146" s="1">
        <v>45674</v>
      </c>
      <c r="C146" s="3" t="s">
        <v>111</v>
      </c>
      <c r="D146" s="3" t="s">
        <v>57</v>
      </c>
      <c r="E146" t="s">
        <v>20</v>
      </c>
      <c r="G146" t="str">
        <f>IF(ISBLANK(Table1[[#This Row],[State]]),"Unknown",Table1[[#This Row],[State]])</f>
        <v>Unknown</v>
      </c>
      <c r="H146" t="s">
        <v>33</v>
      </c>
      <c r="I146" t="s">
        <v>49</v>
      </c>
      <c r="J146" t="str">
        <f>IF(ISBLANK(Table1[[#This Row],[Product]]),"Unknown",Table1[[#This Row],[Product]])</f>
        <v>Keyboard</v>
      </c>
      <c r="K146" s="3">
        <v>4</v>
      </c>
      <c r="L146" s="10">
        <v>799</v>
      </c>
      <c r="M146" t="s">
        <v>4</v>
      </c>
      <c r="N146" t="str">
        <f>IF(ISBLANK(Table1[[#This Row],[Payment method]]),"Unknown",Table1[[#This Row],[Payment method]])</f>
        <v>Net Banking</v>
      </c>
      <c r="O146" t="s">
        <v>58</v>
      </c>
      <c r="P146" t="str">
        <f>IF(Table1[[#This Row],[Unit price]]&gt;2000,"High Price","Standard Price")</f>
        <v>Standard Price</v>
      </c>
    </row>
    <row r="147" spans="1:16" x14ac:dyDescent="0.3">
      <c r="A147" s="3">
        <v>10146</v>
      </c>
      <c r="B147" s="1">
        <v>45737</v>
      </c>
      <c r="C147" s="3" t="s">
        <v>137</v>
      </c>
      <c r="D147" s="3" t="s">
        <v>43</v>
      </c>
      <c r="E147" t="s">
        <v>20</v>
      </c>
      <c r="F147" t="s">
        <v>20</v>
      </c>
      <c r="G147" t="str">
        <f>IF(ISBLANK(Table1[[#This Row],[State]]),"Unknown",Table1[[#This Row],[State]])</f>
        <v>Delhi</v>
      </c>
      <c r="H147" t="s">
        <v>9</v>
      </c>
      <c r="I147" t="s">
        <v>16</v>
      </c>
      <c r="J147" t="str">
        <f>IF(ISBLANK(Table1[[#This Row],[Product]]),"Unknown",Table1[[#This Row],[Product]])</f>
        <v>Lamp</v>
      </c>
      <c r="K147" s="3">
        <v>2</v>
      </c>
      <c r="L147" s="10">
        <v>1299</v>
      </c>
      <c r="N147" t="str">
        <f>IF(ISBLANK(Table1[[#This Row],[Payment method]]),"Unknown",Table1[[#This Row],[Payment method]])</f>
        <v>Unknown</v>
      </c>
      <c r="O147" t="s">
        <v>12</v>
      </c>
      <c r="P147" t="str">
        <f>IF(Table1[[#This Row],[Unit price]]&gt;2000,"High Price","Standard Price")</f>
        <v>Standard Price</v>
      </c>
    </row>
    <row r="148" spans="1:16" x14ac:dyDescent="0.3">
      <c r="A148" s="3">
        <v>10147</v>
      </c>
      <c r="B148" s="1">
        <v>45761</v>
      </c>
      <c r="C148" s="3" t="s">
        <v>29</v>
      </c>
      <c r="D148" s="3" t="s">
        <v>7</v>
      </c>
      <c r="E148" t="s">
        <v>32</v>
      </c>
      <c r="F148" t="s">
        <v>15</v>
      </c>
      <c r="G148" t="str">
        <f>IF(ISBLANK(Table1[[#This Row],[State]]),"Unknown",Table1[[#This Row],[State]])</f>
        <v>Maharashtra</v>
      </c>
      <c r="H148" t="s">
        <v>2</v>
      </c>
      <c r="I148" t="s">
        <v>3</v>
      </c>
      <c r="J148" t="str">
        <f>IF(ISBLANK(Table1[[#This Row],[Product]]),"Unknown",Table1[[#This Row],[Product]])</f>
        <v>T-Shirt</v>
      </c>
      <c r="K148" s="3">
        <v>4</v>
      </c>
      <c r="L148" s="10">
        <v>1999</v>
      </c>
      <c r="M148" t="s">
        <v>26</v>
      </c>
      <c r="N148" t="str">
        <f>IF(ISBLANK(Table1[[#This Row],[Payment method]]),"Unknown",Table1[[#This Row],[Payment method]])</f>
        <v>Card</v>
      </c>
      <c r="O148" t="s">
        <v>58</v>
      </c>
      <c r="P148" t="str">
        <f>IF(Table1[[#This Row],[Unit price]]&gt;2000,"High Price","Standard Price")</f>
        <v>Standard Price</v>
      </c>
    </row>
    <row r="149" spans="1:16" x14ac:dyDescent="0.3">
      <c r="A149" s="3">
        <v>10148</v>
      </c>
      <c r="B149" s="1">
        <v>45742</v>
      </c>
      <c r="C149" s="3" t="s">
        <v>138</v>
      </c>
      <c r="D149" s="3" t="s">
        <v>7</v>
      </c>
      <c r="E149" t="s">
        <v>20</v>
      </c>
      <c r="F149" t="s">
        <v>20</v>
      </c>
      <c r="G149" t="str">
        <f>IF(ISBLANK(Table1[[#This Row],[State]]),"Unknown",Table1[[#This Row],[State]])</f>
        <v>Delhi</v>
      </c>
      <c r="H149" t="s">
        <v>2</v>
      </c>
      <c r="I149" t="s">
        <v>3</v>
      </c>
      <c r="J149" t="str">
        <f>IF(ISBLANK(Table1[[#This Row],[Product]]),"Unknown",Table1[[#This Row],[Product]])</f>
        <v>T-Shirt</v>
      </c>
      <c r="K149" s="3">
        <v>3</v>
      </c>
      <c r="L149" s="10">
        <v>799</v>
      </c>
      <c r="M149" t="s">
        <v>26</v>
      </c>
      <c r="N149" t="str">
        <f>IF(ISBLANK(Table1[[#This Row],[Payment method]]),"Unknown",Table1[[#This Row],[Payment method]])</f>
        <v>Card</v>
      </c>
      <c r="O149" t="s">
        <v>12</v>
      </c>
      <c r="P149" t="str">
        <f>IF(Table1[[#This Row],[Unit price]]&gt;2000,"High Price","Standard Price")</f>
        <v>Standard Price</v>
      </c>
    </row>
    <row r="150" spans="1:16" x14ac:dyDescent="0.3">
      <c r="A150" s="3">
        <v>10149</v>
      </c>
      <c r="B150" s="1">
        <v>45793</v>
      </c>
      <c r="C150" s="3" t="s">
        <v>101</v>
      </c>
      <c r="D150" s="3" t="s">
        <v>43</v>
      </c>
      <c r="E150" t="s">
        <v>32</v>
      </c>
      <c r="F150" t="s">
        <v>15</v>
      </c>
      <c r="G150" t="str">
        <f>IF(ISBLANK(Table1[[#This Row],[State]]),"Unknown",Table1[[#This Row],[State]])</f>
        <v>Maharashtra</v>
      </c>
      <c r="H150" t="s">
        <v>33</v>
      </c>
      <c r="I150" t="s">
        <v>49</v>
      </c>
      <c r="J150" t="str">
        <f>IF(ISBLANK(Table1[[#This Row],[Product]]),"Unknown",Table1[[#This Row],[Product]])</f>
        <v>Keyboard</v>
      </c>
      <c r="K150" s="3">
        <v>4</v>
      </c>
      <c r="L150" s="10">
        <v>499</v>
      </c>
      <c r="M150" t="s">
        <v>4</v>
      </c>
      <c r="N150" t="str">
        <f>IF(ISBLANK(Table1[[#This Row],[Payment method]]),"Unknown",Table1[[#This Row],[Payment method]])</f>
        <v>Net Banking</v>
      </c>
      <c r="O150" t="s">
        <v>5</v>
      </c>
      <c r="P150" t="str">
        <f>IF(Table1[[#This Row],[Unit price]]&gt;2000,"High Price","Standard Price")</f>
        <v>Standard Price</v>
      </c>
    </row>
    <row r="151" spans="1:16" x14ac:dyDescent="0.3">
      <c r="A151" s="3">
        <v>10150</v>
      </c>
      <c r="B151" s="1">
        <v>45873</v>
      </c>
      <c r="C151" s="3" t="s">
        <v>139</v>
      </c>
      <c r="D151" s="3" t="s">
        <v>57</v>
      </c>
      <c r="E151" t="s">
        <v>32</v>
      </c>
      <c r="F151" t="s">
        <v>15</v>
      </c>
      <c r="G151" t="str">
        <f>IF(ISBLANK(Table1[[#This Row],[State]]),"Unknown",Table1[[#This Row],[State]])</f>
        <v>Maharashtra</v>
      </c>
      <c r="H151" t="s">
        <v>2</v>
      </c>
      <c r="I151" t="s">
        <v>24</v>
      </c>
      <c r="J151" t="str">
        <f>IF(ISBLANK(Table1[[#This Row],[Product]]),"Unknown",Table1[[#This Row],[Product]])</f>
        <v>Jeans</v>
      </c>
      <c r="K151" s="3">
        <v>4</v>
      </c>
      <c r="L151" s="10">
        <v>1999</v>
      </c>
      <c r="M151" t="s">
        <v>26</v>
      </c>
      <c r="N151" t="str">
        <f>IF(ISBLANK(Table1[[#This Row],[Payment method]]),"Unknown",Table1[[#This Row],[Payment method]])</f>
        <v>Card</v>
      </c>
      <c r="O151" t="s">
        <v>58</v>
      </c>
      <c r="P151" t="str">
        <f>IF(Table1[[#This Row],[Unit price]]&gt;2000,"High Price","Standard Price")</f>
        <v>Standard Price</v>
      </c>
    </row>
    <row r="152" spans="1:16" x14ac:dyDescent="0.3">
      <c r="A152" s="3">
        <v>10151</v>
      </c>
      <c r="B152" s="1">
        <v>45760</v>
      </c>
      <c r="C152" s="3" t="s">
        <v>84</v>
      </c>
      <c r="D152" s="3" t="s">
        <v>1</v>
      </c>
      <c r="E152" t="s">
        <v>35</v>
      </c>
      <c r="F152" t="s">
        <v>15</v>
      </c>
      <c r="G152" t="str">
        <f>IF(ISBLANK(Table1[[#This Row],[State]]),"Unknown",Table1[[#This Row],[State]])</f>
        <v>Maharashtra</v>
      </c>
      <c r="H152" t="s">
        <v>2</v>
      </c>
      <c r="I152" t="s">
        <v>3</v>
      </c>
      <c r="J152" t="str">
        <f>IF(ISBLANK(Table1[[#This Row],[Product]]),"Unknown",Table1[[#This Row],[Product]])</f>
        <v>T-Shirt</v>
      </c>
      <c r="K152" s="3">
        <v>1</v>
      </c>
      <c r="L152" s="10">
        <v>499</v>
      </c>
      <c r="M152" t="s">
        <v>11</v>
      </c>
      <c r="N152" t="str">
        <f>IF(ISBLANK(Table1[[#This Row],[Payment method]]),"Unknown",Table1[[#This Row],[Payment method]])</f>
        <v>Cash on Delivery</v>
      </c>
      <c r="O152" t="s">
        <v>12</v>
      </c>
      <c r="P152" t="str">
        <f>IF(Table1[[#This Row],[Unit price]]&gt;2000,"High Price","Standard Price")</f>
        <v>Standard Price</v>
      </c>
    </row>
    <row r="153" spans="1:16" x14ac:dyDescent="0.3">
      <c r="A153" s="3">
        <v>10152</v>
      </c>
      <c r="B153" s="1">
        <v>45812</v>
      </c>
      <c r="C153" s="3" t="s">
        <v>140</v>
      </c>
      <c r="D153" s="3" t="s">
        <v>23</v>
      </c>
      <c r="E153" t="s">
        <v>35</v>
      </c>
      <c r="F153" t="s">
        <v>15</v>
      </c>
      <c r="G153" t="str">
        <f>IF(ISBLANK(Table1[[#This Row],[State]]),"Unknown",Table1[[#This Row],[State]])</f>
        <v>Maharashtra</v>
      </c>
      <c r="H153" t="s">
        <v>9</v>
      </c>
      <c r="I153" t="s">
        <v>16</v>
      </c>
      <c r="J153" t="str">
        <f>IF(ISBLANK(Table1[[#This Row],[Product]]),"Unknown",Table1[[#This Row],[Product]])</f>
        <v>Lamp</v>
      </c>
      <c r="K153" s="3">
        <v>5</v>
      </c>
      <c r="L153" s="10">
        <v>799</v>
      </c>
      <c r="M153" t="s">
        <v>26</v>
      </c>
      <c r="N153" t="str">
        <f>IF(ISBLANK(Table1[[#This Row],[Payment method]]),"Unknown",Table1[[#This Row],[Payment method]])</f>
        <v>Card</v>
      </c>
      <c r="O153" t="s">
        <v>12</v>
      </c>
      <c r="P153" t="str">
        <f>IF(Table1[[#This Row],[Unit price]]&gt;2000,"High Price","Standard Price")</f>
        <v>Standard Price</v>
      </c>
    </row>
    <row r="154" spans="1:16" x14ac:dyDescent="0.3">
      <c r="A154" s="3">
        <v>10153</v>
      </c>
      <c r="B154" s="1">
        <v>45666</v>
      </c>
      <c r="C154" s="3" t="s">
        <v>85</v>
      </c>
      <c r="D154" s="3" t="s">
        <v>1</v>
      </c>
      <c r="E154" t="s">
        <v>8</v>
      </c>
      <c r="F154" t="s">
        <v>52</v>
      </c>
      <c r="G154" t="str">
        <f>IF(ISBLANK(Table1[[#This Row],[State]]),"Unknown",Table1[[#This Row],[State]])</f>
        <v>Karnataka</v>
      </c>
      <c r="H154" t="s">
        <v>9</v>
      </c>
      <c r="J154" t="str">
        <f>IF(ISBLANK(Table1[[#This Row],[Product]]),"Unknown",Table1[[#This Row],[Product]])</f>
        <v>Unknown</v>
      </c>
      <c r="K154" s="3">
        <v>2</v>
      </c>
      <c r="L154" s="10">
        <v>1999</v>
      </c>
      <c r="M154" t="s">
        <v>26</v>
      </c>
      <c r="N154" t="str">
        <f>IF(ISBLANK(Table1[[#This Row],[Payment method]]),"Unknown",Table1[[#This Row],[Payment method]])</f>
        <v>Card</v>
      </c>
      <c r="O154" t="s">
        <v>12</v>
      </c>
      <c r="P154" t="str">
        <f>IF(Table1[[#This Row],[Unit price]]&gt;2000,"High Price","Standard Price")</f>
        <v>Standard Price</v>
      </c>
    </row>
    <row r="155" spans="1:16" x14ac:dyDescent="0.3">
      <c r="A155" s="3">
        <v>10154</v>
      </c>
      <c r="B155" s="1">
        <v>45735</v>
      </c>
      <c r="C155" s="3" t="s">
        <v>83</v>
      </c>
      <c r="D155" s="3" t="s">
        <v>14</v>
      </c>
      <c r="E155" t="s">
        <v>20</v>
      </c>
      <c r="F155" t="s">
        <v>20</v>
      </c>
      <c r="G155" t="str">
        <f>IF(ISBLANK(Table1[[#This Row],[State]]),"Unknown",Table1[[#This Row],[State]])</f>
        <v>Delhi</v>
      </c>
      <c r="H155" t="s">
        <v>9</v>
      </c>
      <c r="I155" t="s">
        <v>10</v>
      </c>
      <c r="J155" t="str">
        <f>IF(ISBLANK(Table1[[#This Row],[Product]]),"Unknown",Table1[[#This Row],[Product]])</f>
        <v>Chair</v>
      </c>
      <c r="K155" s="3">
        <v>4</v>
      </c>
      <c r="L155" s="10">
        <v>499</v>
      </c>
      <c r="M155" t="s">
        <v>26</v>
      </c>
      <c r="N155" t="str">
        <f>IF(ISBLANK(Table1[[#This Row],[Payment method]]),"Unknown",Table1[[#This Row],[Payment method]])</f>
        <v>Card</v>
      </c>
      <c r="O155" t="s">
        <v>12</v>
      </c>
      <c r="P155" t="str">
        <f>IF(Table1[[#This Row],[Unit price]]&gt;2000,"High Price","Standard Price")</f>
        <v>Standard Price</v>
      </c>
    </row>
    <row r="156" spans="1:16" x14ac:dyDescent="0.3">
      <c r="A156" s="3">
        <v>10155</v>
      </c>
      <c r="B156" s="1">
        <v>45786</v>
      </c>
      <c r="C156" s="3" t="s">
        <v>87</v>
      </c>
      <c r="D156" s="3" t="s">
        <v>39</v>
      </c>
      <c r="E156" t="s">
        <v>249</v>
      </c>
      <c r="F156" t="s">
        <v>36</v>
      </c>
      <c r="G156" t="str">
        <f>IF(ISBLANK(Table1[[#This Row],[State]]),"Unknown",Table1[[#This Row],[State]])</f>
        <v>Maharastra</v>
      </c>
      <c r="H156" t="s">
        <v>9</v>
      </c>
      <c r="I156" t="s">
        <v>16</v>
      </c>
      <c r="J156" t="str">
        <f>IF(ISBLANK(Table1[[#This Row],[Product]]),"Unknown",Table1[[#This Row],[Product]])</f>
        <v>Lamp</v>
      </c>
      <c r="K156" s="3">
        <v>3</v>
      </c>
      <c r="L156" s="10">
        <v>299</v>
      </c>
      <c r="M156" t="s">
        <v>4</v>
      </c>
      <c r="N156" t="str">
        <f>IF(ISBLANK(Table1[[#This Row],[Payment method]]),"Unknown",Table1[[#This Row],[Payment method]])</f>
        <v>Net Banking</v>
      </c>
      <c r="O156" t="s">
        <v>12</v>
      </c>
      <c r="P156" t="str">
        <f>IF(Table1[[#This Row],[Unit price]]&gt;2000,"High Price","Standard Price")</f>
        <v>Standard Price</v>
      </c>
    </row>
    <row r="157" spans="1:16" x14ac:dyDescent="0.3">
      <c r="A157" s="3">
        <v>10156</v>
      </c>
      <c r="B157" s="1">
        <v>45658</v>
      </c>
      <c r="C157" s="3" t="s">
        <v>114</v>
      </c>
      <c r="D157" s="3" t="s">
        <v>57</v>
      </c>
      <c r="E157" t="s">
        <v>45</v>
      </c>
      <c r="F157" t="s">
        <v>54</v>
      </c>
      <c r="G157" t="str">
        <f>IF(ISBLANK(Table1[[#This Row],[State]]),"Unknown",Table1[[#This Row],[State]])</f>
        <v>Uttar Pradesh</v>
      </c>
      <c r="H157" t="s">
        <v>33</v>
      </c>
      <c r="J157" t="str">
        <f>IF(ISBLANK(Table1[[#This Row],[Product]]),"Unknown",Table1[[#This Row],[Product]])</f>
        <v>Unknown</v>
      </c>
      <c r="K157" s="3">
        <v>3</v>
      </c>
      <c r="L157" s="10">
        <v>499</v>
      </c>
      <c r="M157" t="s">
        <v>11</v>
      </c>
      <c r="N157" t="str">
        <f>IF(ISBLANK(Table1[[#This Row],[Payment method]]),"Unknown",Table1[[#This Row],[Payment method]])</f>
        <v>Cash on Delivery</v>
      </c>
      <c r="O157" t="s">
        <v>12</v>
      </c>
      <c r="P157" t="str">
        <f>IF(Table1[[#This Row],[Unit price]]&gt;2000,"High Price","Standard Price")</f>
        <v>Standard Price</v>
      </c>
    </row>
    <row r="158" spans="1:16" x14ac:dyDescent="0.3">
      <c r="A158" s="3">
        <v>10157</v>
      </c>
      <c r="B158" s="1">
        <v>45683</v>
      </c>
      <c r="C158" s="3" t="s">
        <v>72</v>
      </c>
      <c r="D158" s="3" t="s">
        <v>19</v>
      </c>
      <c r="E158" t="s">
        <v>32</v>
      </c>
      <c r="F158" t="s">
        <v>36</v>
      </c>
      <c r="G158" t="str">
        <f>IF(ISBLANK(Table1[[#This Row],[State]]),"Unknown",Table1[[#This Row],[State]])</f>
        <v>Maharastra</v>
      </c>
      <c r="H158" t="s">
        <v>9</v>
      </c>
      <c r="I158" t="s">
        <v>10</v>
      </c>
      <c r="J158" t="str">
        <f>IF(ISBLANK(Table1[[#This Row],[Product]]),"Unknown",Table1[[#This Row],[Product]])</f>
        <v>Chair</v>
      </c>
      <c r="K158" s="3">
        <v>1</v>
      </c>
      <c r="L158" s="10">
        <v>299</v>
      </c>
      <c r="M158" t="s">
        <v>4</v>
      </c>
      <c r="N158" t="str">
        <f>IF(ISBLANK(Table1[[#This Row],[Payment method]]),"Unknown",Table1[[#This Row],[Payment method]])</f>
        <v>Net Banking</v>
      </c>
      <c r="O158" t="s">
        <v>58</v>
      </c>
      <c r="P158" t="str">
        <f>IF(Table1[[#This Row],[Unit price]]&gt;2000,"High Price","Standard Price")</f>
        <v>Standard Price</v>
      </c>
    </row>
    <row r="159" spans="1:16" x14ac:dyDescent="0.3">
      <c r="A159" s="3">
        <v>10158</v>
      </c>
      <c r="B159" s="1">
        <v>45743</v>
      </c>
      <c r="C159" s="3" t="s">
        <v>82</v>
      </c>
      <c r="D159" s="3" t="s">
        <v>7</v>
      </c>
      <c r="E159" t="s">
        <v>248</v>
      </c>
      <c r="F159" t="s">
        <v>52</v>
      </c>
      <c r="G159" t="str">
        <f>IF(ISBLANK(Table1[[#This Row],[State]]),"Unknown",Table1[[#This Row],[State]])</f>
        <v>Karnataka</v>
      </c>
      <c r="H159" t="s">
        <v>33</v>
      </c>
      <c r="I159" t="s">
        <v>37</v>
      </c>
      <c r="J159" t="str">
        <f>IF(ISBLANK(Table1[[#This Row],[Product]]),"Unknown",Table1[[#This Row],[Product]])</f>
        <v>Mouse</v>
      </c>
      <c r="K159" s="3">
        <v>4</v>
      </c>
      <c r="L159" s="10">
        <v>499</v>
      </c>
      <c r="M159" t="s">
        <v>4</v>
      </c>
      <c r="N159" t="str">
        <f>IF(ISBLANK(Table1[[#This Row],[Payment method]]),"Unknown",Table1[[#This Row],[Payment method]])</f>
        <v>Net Banking</v>
      </c>
      <c r="O159" t="s">
        <v>58</v>
      </c>
      <c r="P159" t="str">
        <f>IF(Table1[[#This Row],[Unit price]]&gt;2000,"High Price","Standard Price")</f>
        <v>Standard Price</v>
      </c>
    </row>
    <row r="160" spans="1:16" x14ac:dyDescent="0.3">
      <c r="A160" s="3">
        <v>10159</v>
      </c>
      <c r="B160" s="1">
        <v>45746</v>
      </c>
      <c r="C160" s="3" t="s">
        <v>141</v>
      </c>
      <c r="D160" s="3" t="s">
        <v>23</v>
      </c>
      <c r="E160" t="s">
        <v>32</v>
      </c>
      <c r="F160" t="s">
        <v>15</v>
      </c>
      <c r="G160" t="str">
        <f>IF(ISBLANK(Table1[[#This Row],[State]]),"Unknown",Table1[[#This Row],[State]])</f>
        <v>Maharashtra</v>
      </c>
      <c r="H160" t="s">
        <v>2</v>
      </c>
      <c r="I160" t="s">
        <v>3</v>
      </c>
      <c r="J160" t="str">
        <f>IF(ISBLANK(Table1[[#This Row],[Product]]),"Unknown",Table1[[#This Row],[Product]])</f>
        <v>T-Shirt</v>
      </c>
      <c r="K160" s="3">
        <v>1</v>
      </c>
      <c r="L160" s="10">
        <v>799</v>
      </c>
      <c r="N160" t="str">
        <f>IF(ISBLANK(Table1[[#This Row],[Payment method]]),"Unknown",Table1[[#This Row],[Payment method]])</f>
        <v>Unknown</v>
      </c>
      <c r="O160" t="s">
        <v>12</v>
      </c>
      <c r="P160" t="str">
        <f>IF(Table1[[#This Row],[Unit price]]&gt;2000,"High Price","Standard Price")</f>
        <v>Standard Price</v>
      </c>
    </row>
    <row r="161" spans="1:16" x14ac:dyDescent="0.3">
      <c r="A161" s="3">
        <v>10160</v>
      </c>
      <c r="B161" s="1">
        <v>45731</v>
      </c>
      <c r="C161" s="3" t="s">
        <v>142</v>
      </c>
      <c r="D161" s="3" t="s">
        <v>19</v>
      </c>
      <c r="E161" t="s">
        <v>45</v>
      </c>
      <c r="F161" t="s">
        <v>54</v>
      </c>
      <c r="G161" t="str">
        <f>IF(ISBLANK(Table1[[#This Row],[State]]),"Unknown",Table1[[#This Row],[State]])</f>
        <v>Uttar Pradesh</v>
      </c>
      <c r="H161" t="s">
        <v>2</v>
      </c>
      <c r="I161" t="s">
        <v>3</v>
      </c>
      <c r="J161" t="str">
        <f>IF(ISBLANK(Table1[[#This Row],[Product]]),"Unknown",Table1[[#This Row],[Product]])</f>
        <v>T-Shirt</v>
      </c>
      <c r="K161" s="3">
        <v>1</v>
      </c>
      <c r="L161" s="10">
        <v>299</v>
      </c>
      <c r="M161" t="s">
        <v>26</v>
      </c>
      <c r="N161" t="str">
        <f>IF(ISBLANK(Table1[[#This Row],[Payment method]]),"Unknown",Table1[[#This Row],[Payment method]])</f>
        <v>Card</v>
      </c>
      <c r="O161" t="s">
        <v>5</v>
      </c>
      <c r="P161" t="str">
        <f>IF(Table1[[#This Row],[Unit price]]&gt;2000,"High Price","Standard Price")</f>
        <v>Standard Price</v>
      </c>
    </row>
    <row r="162" spans="1:16" x14ac:dyDescent="0.3">
      <c r="A162" s="3">
        <v>10161</v>
      </c>
      <c r="B162" s="1">
        <v>45734</v>
      </c>
      <c r="C162" s="3" t="s">
        <v>55</v>
      </c>
      <c r="D162" s="3" t="s">
        <v>39</v>
      </c>
      <c r="E162" t="s">
        <v>20</v>
      </c>
      <c r="F162" t="s">
        <v>20</v>
      </c>
      <c r="G162" t="str">
        <f>IF(ISBLANK(Table1[[#This Row],[State]]),"Unknown",Table1[[#This Row],[State]])</f>
        <v>Delhi</v>
      </c>
      <c r="H162" t="s">
        <v>9</v>
      </c>
      <c r="I162" t="s">
        <v>10</v>
      </c>
      <c r="J162" t="str">
        <f>IF(ISBLANK(Table1[[#This Row],[Product]]),"Unknown",Table1[[#This Row],[Product]])</f>
        <v>Chair</v>
      </c>
      <c r="K162" s="3">
        <v>3</v>
      </c>
      <c r="L162" s="10">
        <v>1299</v>
      </c>
      <c r="M162" t="s">
        <v>26</v>
      </c>
      <c r="N162" t="str">
        <f>IF(ISBLANK(Table1[[#This Row],[Payment method]]),"Unknown",Table1[[#This Row],[Payment method]])</f>
        <v>Card</v>
      </c>
      <c r="O162" t="s">
        <v>12</v>
      </c>
      <c r="P162" t="str">
        <f>IF(Table1[[#This Row],[Unit price]]&gt;2000,"High Price","Standard Price")</f>
        <v>Standard Price</v>
      </c>
    </row>
    <row r="163" spans="1:16" x14ac:dyDescent="0.3">
      <c r="A163" s="3">
        <v>10162</v>
      </c>
      <c r="B163" s="1">
        <v>45805</v>
      </c>
      <c r="C163" s="3" t="s">
        <v>139</v>
      </c>
      <c r="D163" s="3" t="s">
        <v>1</v>
      </c>
      <c r="E163" t="s">
        <v>20</v>
      </c>
      <c r="F163" t="s">
        <v>20</v>
      </c>
      <c r="G163" t="str">
        <f>IF(ISBLANK(Table1[[#This Row],[State]]),"Unknown",Table1[[#This Row],[State]])</f>
        <v>Delhi</v>
      </c>
      <c r="H163" t="s">
        <v>2</v>
      </c>
      <c r="I163" t="s">
        <v>24</v>
      </c>
      <c r="J163" t="str">
        <f>IF(ISBLANK(Table1[[#This Row],[Product]]),"Unknown",Table1[[#This Row],[Product]])</f>
        <v>Jeans</v>
      </c>
      <c r="K163" s="3">
        <v>3</v>
      </c>
      <c r="L163" s="10">
        <v>1999</v>
      </c>
      <c r="M163" t="s">
        <v>11</v>
      </c>
      <c r="N163" t="str">
        <f>IF(ISBLANK(Table1[[#This Row],[Payment method]]),"Unknown",Table1[[#This Row],[Payment method]])</f>
        <v>Cash on Delivery</v>
      </c>
      <c r="O163" t="s">
        <v>58</v>
      </c>
      <c r="P163" t="str">
        <f>IF(Table1[[#This Row],[Unit price]]&gt;2000,"High Price","Standard Price")</f>
        <v>Standard Price</v>
      </c>
    </row>
    <row r="164" spans="1:16" x14ac:dyDescent="0.3">
      <c r="A164" s="3">
        <v>10163</v>
      </c>
      <c r="B164" s="1">
        <v>45767</v>
      </c>
      <c r="C164" s="3" t="s">
        <v>79</v>
      </c>
      <c r="D164" s="3" t="s">
        <v>23</v>
      </c>
      <c r="E164" t="s">
        <v>32</v>
      </c>
      <c r="F164" t="s">
        <v>15</v>
      </c>
      <c r="G164" t="str">
        <f>IF(ISBLANK(Table1[[#This Row],[State]]),"Unknown",Table1[[#This Row],[State]])</f>
        <v>Maharashtra</v>
      </c>
      <c r="H164" t="s">
        <v>9</v>
      </c>
      <c r="I164" t="s">
        <v>16</v>
      </c>
      <c r="J164" t="str">
        <f>IF(ISBLANK(Table1[[#This Row],[Product]]),"Unknown",Table1[[#This Row],[Product]])</f>
        <v>Lamp</v>
      </c>
      <c r="K164" s="3">
        <v>2</v>
      </c>
      <c r="L164" s="10">
        <v>1999</v>
      </c>
      <c r="M164" t="s">
        <v>11</v>
      </c>
      <c r="N164" t="str">
        <f>IF(ISBLANK(Table1[[#This Row],[Payment method]]),"Unknown",Table1[[#This Row],[Payment method]])</f>
        <v>Cash on Delivery</v>
      </c>
      <c r="O164" t="s">
        <v>5</v>
      </c>
      <c r="P164" t="str">
        <f>IF(Table1[[#This Row],[Unit price]]&gt;2000,"High Price","Standard Price")</f>
        <v>Standard Price</v>
      </c>
    </row>
    <row r="165" spans="1:16" x14ac:dyDescent="0.3">
      <c r="A165" s="3">
        <v>10164</v>
      </c>
      <c r="B165" s="1">
        <v>45744</v>
      </c>
      <c r="C165" s="3" t="s">
        <v>113</v>
      </c>
      <c r="D165" s="3" t="s">
        <v>57</v>
      </c>
      <c r="E165" t="s">
        <v>248</v>
      </c>
      <c r="G165" t="str">
        <f>IF(ISBLANK(Table1[[#This Row],[State]]),"Unknown",Table1[[#This Row],[State]])</f>
        <v>Unknown</v>
      </c>
      <c r="H165" t="s">
        <v>33</v>
      </c>
      <c r="I165" t="s">
        <v>37</v>
      </c>
      <c r="J165" t="str">
        <f>IF(ISBLANK(Table1[[#This Row],[Product]]),"Unknown",Table1[[#This Row],[Product]])</f>
        <v>Mouse</v>
      </c>
      <c r="K165" s="3">
        <v>1</v>
      </c>
      <c r="L165" s="10">
        <v>499</v>
      </c>
      <c r="M165" t="s">
        <v>26</v>
      </c>
      <c r="N165" t="str">
        <f>IF(ISBLANK(Table1[[#This Row],[Payment method]]),"Unknown",Table1[[#This Row],[Payment method]])</f>
        <v>Card</v>
      </c>
      <c r="O165" t="s">
        <v>5</v>
      </c>
      <c r="P165" t="str">
        <f>IF(Table1[[#This Row],[Unit price]]&gt;2000,"High Price","Standard Price")</f>
        <v>Standard Price</v>
      </c>
    </row>
    <row r="166" spans="1:16" x14ac:dyDescent="0.3">
      <c r="A166" s="3">
        <v>10165</v>
      </c>
      <c r="B166" s="1">
        <v>45702</v>
      </c>
      <c r="C166" s="3" t="s">
        <v>143</v>
      </c>
      <c r="D166" s="3" t="s">
        <v>1</v>
      </c>
      <c r="E166" t="s">
        <v>20</v>
      </c>
      <c r="F166" t="s">
        <v>20</v>
      </c>
      <c r="G166" t="str">
        <f>IF(ISBLANK(Table1[[#This Row],[State]]),"Unknown",Table1[[#This Row],[State]])</f>
        <v>Delhi</v>
      </c>
      <c r="H166" t="s">
        <v>2</v>
      </c>
      <c r="I166" t="s">
        <v>24</v>
      </c>
      <c r="J166" t="str">
        <f>IF(ISBLANK(Table1[[#This Row],[Product]]),"Unknown",Table1[[#This Row],[Product]])</f>
        <v>Jeans</v>
      </c>
      <c r="K166" s="3">
        <v>1</v>
      </c>
      <c r="L166" s="10">
        <v>799</v>
      </c>
      <c r="N166" t="str">
        <f>IF(ISBLANK(Table1[[#This Row],[Payment method]]),"Unknown",Table1[[#This Row],[Payment method]])</f>
        <v>Unknown</v>
      </c>
      <c r="O166" t="s">
        <v>17</v>
      </c>
      <c r="P166" t="str">
        <f>IF(Table1[[#This Row],[Unit price]]&gt;2000,"High Price","Standard Price")</f>
        <v>Standard Price</v>
      </c>
    </row>
    <row r="167" spans="1:16" x14ac:dyDescent="0.3">
      <c r="A167" s="3">
        <v>10166</v>
      </c>
      <c r="B167" s="1">
        <v>45658</v>
      </c>
      <c r="C167" s="3" t="s">
        <v>13</v>
      </c>
      <c r="D167" s="3" t="s">
        <v>19</v>
      </c>
      <c r="E167" t="s">
        <v>8</v>
      </c>
      <c r="F167" t="s">
        <v>52</v>
      </c>
      <c r="G167" t="str">
        <f>IF(ISBLANK(Table1[[#This Row],[State]]),"Unknown",Table1[[#This Row],[State]])</f>
        <v>Karnataka</v>
      </c>
      <c r="H167" t="s">
        <v>2</v>
      </c>
      <c r="I167" t="s">
        <v>3</v>
      </c>
      <c r="J167" t="str">
        <f>IF(ISBLANK(Table1[[#This Row],[Product]]),"Unknown",Table1[[#This Row],[Product]])</f>
        <v>T-Shirt</v>
      </c>
      <c r="K167" s="3">
        <v>5</v>
      </c>
      <c r="L167" s="10">
        <v>1299</v>
      </c>
      <c r="N167" t="str">
        <f>IF(ISBLANK(Table1[[#This Row],[Payment method]]),"Unknown",Table1[[#This Row],[Payment method]])</f>
        <v>Unknown</v>
      </c>
      <c r="O167" t="s">
        <v>12</v>
      </c>
      <c r="P167" t="str">
        <f>IF(Table1[[#This Row],[Unit price]]&gt;2000,"High Price","Standard Price")</f>
        <v>Standard Price</v>
      </c>
    </row>
    <row r="168" spans="1:16" x14ac:dyDescent="0.3">
      <c r="A168" s="3">
        <v>10167</v>
      </c>
      <c r="B168" s="1">
        <v>45799</v>
      </c>
      <c r="C168" s="3" t="s">
        <v>144</v>
      </c>
      <c r="D168" s="3" t="s">
        <v>19</v>
      </c>
      <c r="E168" t="s">
        <v>20</v>
      </c>
      <c r="F168" t="s">
        <v>20</v>
      </c>
      <c r="G168" t="str">
        <f>IF(ISBLANK(Table1[[#This Row],[State]]),"Unknown",Table1[[#This Row],[State]])</f>
        <v>Delhi</v>
      </c>
      <c r="H168" t="s">
        <v>2</v>
      </c>
      <c r="I168" t="s">
        <v>3</v>
      </c>
      <c r="J168" t="str">
        <f>IF(ISBLANK(Table1[[#This Row],[Product]]),"Unknown",Table1[[#This Row],[Product]])</f>
        <v>T-Shirt</v>
      </c>
      <c r="K168" s="3">
        <v>5</v>
      </c>
      <c r="L168" s="10">
        <v>1299</v>
      </c>
      <c r="M168" t="s">
        <v>11</v>
      </c>
      <c r="N168" t="str">
        <f>IF(ISBLANK(Table1[[#This Row],[Payment method]]),"Unknown",Table1[[#This Row],[Payment method]])</f>
        <v>Cash on Delivery</v>
      </c>
      <c r="O168" t="s">
        <v>12</v>
      </c>
      <c r="P168" t="str">
        <f>IF(Table1[[#This Row],[Unit price]]&gt;2000,"High Price","Standard Price")</f>
        <v>Standard Price</v>
      </c>
    </row>
    <row r="169" spans="1:16" x14ac:dyDescent="0.3">
      <c r="A169" s="3">
        <v>10168</v>
      </c>
      <c r="B169" s="1">
        <v>45664</v>
      </c>
      <c r="C169" s="3" t="s">
        <v>145</v>
      </c>
      <c r="D169" s="3" t="s">
        <v>57</v>
      </c>
      <c r="E169" t="s">
        <v>45</v>
      </c>
      <c r="F169" t="s">
        <v>54</v>
      </c>
      <c r="G169" t="str">
        <f>IF(ISBLANK(Table1[[#This Row],[State]]),"Unknown",Table1[[#This Row],[State]])</f>
        <v>Uttar Pradesh</v>
      </c>
      <c r="H169" t="s">
        <v>2</v>
      </c>
      <c r="I169" t="s">
        <v>24</v>
      </c>
      <c r="J169" t="str">
        <f>IF(ISBLANK(Table1[[#This Row],[Product]]),"Unknown",Table1[[#This Row],[Product]])</f>
        <v>Jeans</v>
      </c>
      <c r="K169" s="3">
        <v>-2</v>
      </c>
      <c r="L169" s="10">
        <v>1999</v>
      </c>
      <c r="N169" t="str">
        <f>IF(ISBLANK(Table1[[#This Row],[Payment method]]),"Unknown",Table1[[#This Row],[Payment method]])</f>
        <v>Unknown</v>
      </c>
      <c r="O169" t="s">
        <v>17</v>
      </c>
      <c r="P169" t="str">
        <f>IF(Table1[[#This Row],[Unit price]]&gt;2000,"High Price","Standard Price")</f>
        <v>Standard Price</v>
      </c>
    </row>
    <row r="170" spans="1:16" x14ac:dyDescent="0.3">
      <c r="A170" s="3">
        <v>10169</v>
      </c>
      <c r="B170" s="1">
        <v>45962</v>
      </c>
      <c r="C170" s="3" t="s">
        <v>78</v>
      </c>
      <c r="D170" s="3" t="s">
        <v>43</v>
      </c>
      <c r="E170" t="s">
        <v>32</v>
      </c>
      <c r="F170" t="s">
        <v>15</v>
      </c>
      <c r="G170" t="str">
        <f>IF(ISBLANK(Table1[[#This Row],[State]]),"Unknown",Table1[[#This Row],[State]])</f>
        <v>Maharashtra</v>
      </c>
      <c r="H170" t="s">
        <v>33</v>
      </c>
      <c r="I170" t="s">
        <v>49</v>
      </c>
      <c r="J170" t="str">
        <f>IF(ISBLANK(Table1[[#This Row],[Product]]),"Unknown",Table1[[#This Row],[Product]])</f>
        <v>Keyboard</v>
      </c>
      <c r="K170" s="3">
        <v>4</v>
      </c>
      <c r="L170" s="10">
        <v>1299</v>
      </c>
      <c r="M170" t="s">
        <v>11</v>
      </c>
      <c r="N170" t="str">
        <f>IF(ISBLANK(Table1[[#This Row],[Payment method]]),"Unknown",Table1[[#This Row],[Payment method]])</f>
        <v>Cash on Delivery</v>
      </c>
      <c r="O170" t="s">
        <v>58</v>
      </c>
      <c r="P170" t="str">
        <f>IF(Table1[[#This Row],[Unit price]]&gt;2000,"High Price","Standard Price")</f>
        <v>Standard Price</v>
      </c>
    </row>
    <row r="171" spans="1:16" x14ac:dyDescent="0.3">
      <c r="A171" s="3">
        <v>10170</v>
      </c>
      <c r="B171" s="1">
        <v>45679</v>
      </c>
      <c r="C171" s="3" t="s">
        <v>85</v>
      </c>
      <c r="D171" s="3" t="s">
        <v>7</v>
      </c>
      <c r="E171" t="s">
        <v>45</v>
      </c>
      <c r="F171" t="s">
        <v>54</v>
      </c>
      <c r="G171" t="str">
        <f>IF(ISBLANK(Table1[[#This Row],[State]]),"Unknown",Table1[[#This Row],[State]])</f>
        <v>Uttar Pradesh</v>
      </c>
      <c r="H171" t="s">
        <v>33</v>
      </c>
      <c r="I171" t="s">
        <v>49</v>
      </c>
      <c r="J171" t="str">
        <f>IF(ISBLANK(Table1[[#This Row],[Product]]),"Unknown",Table1[[#This Row],[Product]])</f>
        <v>Keyboard</v>
      </c>
      <c r="K171" s="3">
        <v>2</v>
      </c>
      <c r="L171" s="10">
        <v>1299</v>
      </c>
      <c r="N171" t="str">
        <f>IF(ISBLANK(Table1[[#This Row],[Payment method]]),"Unknown",Table1[[#This Row],[Payment method]])</f>
        <v>Unknown</v>
      </c>
      <c r="O171" t="s">
        <v>58</v>
      </c>
      <c r="P171" t="str">
        <f>IF(Table1[[#This Row],[Unit price]]&gt;2000,"High Price","Standard Price")</f>
        <v>Standard Price</v>
      </c>
    </row>
    <row r="172" spans="1:16" x14ac:dyDescent="0.3">
      <c r="A172" s="3">
        <v>10171</v>
      </c>
      <c r="B172" s="1">
        <v>45669</v>
      </c>
      <c r="C172" s="3" t="s">
        <v>146</v>
      </c>
      <c r="D172" s="3" t="s">
        <v>57</v>
      </c>
      <c r="E172" t="s">
        <v>45</v>
      </c>
      <c r="F172" t="s">
        <v>54</v>
      </c>
      <c r="G172" t="str">
        <f>IF(ISBLANK(Table1[[#This Row],[State]]),"Unknown",Table1[[#This Row],[State]])</f>
        <v>Uttar Pradesh</v>
      </c>
      <c r="H172" t="s">
        <v>33</v>
      </c>
      <c r="I172" t="s">
        <v>21</v>
      </c>
      <c r="J172" t="str">
        <f>IF(ISBLANK(Table1[[#This Row],[Product]]),"Unknown",Table1[[#This Row],[Product]])</f>
        <v>Headphones</v>
      </c>
      <c r="K172" s="3">
        <v>3</v>
      </c>
      <c r="L172" s="10">
        <v>1299</v>
      </c>
      <c r="M172" t="s">
        <v>26</v>
      </c>
      <c r="N172" t="str">
        <f>IF(ISBLANK(Table1[[#This Row],[Payment method]]),"Unknown",Table1[[#This Row],[Payment method]])</f>
        <v>Card</v>
      </c>
      <c r="O172" t="s">
        <v>12</v>
      </c>
      <c r="P172" t="str">
        <f>IF(Table1[[#This Row],[Unit price]]&gt;2000,"High Price","Standard Price")</f>
        <v>Standard Price</v>
      </c>
    </row>
    <row r="173" spans="1:16" x14ac:dyDescent="0.3">
      <c r="A173" s="3">
        <v>10172</v>
      </c>
      <c r="B173" s="1">
        <v>45836</v>
      </c>
      <c r="C173" s="3" t="s">
        <v>147</v>
      </c>
      <c r="D173" s="3" t="s">
        <v>57</v>
      </c>
      <c r="E173" t="s">
        <v>45</v>
      </c>
      <c r="F173" t="s">
        <v>54</v>
      </c>
      <c r="G173" t="str">
        <f>IF(ISBLANK(Table1[[#This Row],[State]]),"Unknown",Table1[[#This Row],[State]])</f>
        <v>Uttar Pradesh</v>
      </c>
      <c r="H173" t="s">
        <v>2</v>
      </c>
      <c r="I173" t="s">
        <v>3</v>
      </c>
      <c r="J173" t="str">
        <f>IF(ISBLANK(Table1[[#This Row],[Product]]),"Unknown",Table1[[#This Row],[Product]])</f>
        <v>T-Shirt</v>
      </c>
      <c r="K173" s="3">
        <v>1</v>
      </c>
      <c r="L173" s="10">
        <v>299</v>
      </c>
      <c r="M173" t="s">
        <v>4</v>
      </c>
      <c r="N173" t="str">
        <f>IF(ISBLANK(Table1[[#This Row],[Payment method]]),"Unknown",Table1[[#This Row],[Payment method]])</f>
        <v>Net Banking</v>
      </c>
      <c r="O173" t="s">
        <v>12</v>
      </c>
      <c r="P173" t="str">
        <f>IF(Table1[[#This Row],[Unit price]]&gt;2000,"High Price","Standard Price")</f>
        <v>Standard Price</v>
      </c>
    </row>
    <row r="174" spans="1:16" x14ac:dyDescent="0.3">
      <c r="A174" s="3">
        <v>10173</v>
      </c>
      <c r="B174" s="1">
        <v>45717</v>
      </c>
      <c r="C174" s="3" t="s">
        <v>77</v>
      </c>
      <c r="D174" s="3" t="s">
        <v>57</v>
      </c>
      <c r="E174" t="s">
        <v>45</v>
      </c>
      <c r="F174" t="s">
        <v>54</v>
      </c>
      <c r="G174" t="str">
        <f>IF(ISBLANK(Table1[[#This Row],[State]]),"Unknown",Table1[[#This Row],[State]])</f>
        <v>Uttar Pradesh</v>
      </c>
      <c r="H174" t="s">
        <v>33</v>
      </c>
      <c r="I174" t="s">
        <v>21</v>
      </c>
      <c r="J174" t="str">
        <f>IF(ISBLANK(Table1[[#This Row],[Product]]),"Unknown",Table1[[#This Row],[Product]])</f>
        <v>Headphones</v>
      </c>
      <c r="K174" s="3">
        <v>4</v>
      </c>
      <c r="L174" s="10">
        <v>499</v>
      </c>
      <c r="M174" t="s">
        <v>4</v>
      </c>
      <c r="N174" t="str">
        <f>IF(ISBLANK(Table1[[#This Row],[Payment method]]),"Unknown",Table1[[#This Row],[Payment method]])</f>
        <v>Net Banking</v>
      </c>
      <c r="O174" t="s">
        <v>12</v>
      </c>
      <c r="P174" t="str">
        <f>IF(Table1[[#This Row],[Unit price]]&gt;2000,"High Price","Standard Price")</f>
        <v>Standard Price</v>
      </c>
    </row>
    <row r="175" spans="1:16" x14ac:dyDescent="0.3">
      <c r="A175" s="3">
        <v>10174</v>
      </c>
      <c r="B175" s="1">
        <v>45935</v>
      </c>
      <c r="C175" s="3" t="s">
        <v>105</v>
      </c>
      <c r="D175" s="3" t="s">
        <v>39</v>
      </c>
      <c r="E175" t="s">
        <v>35</v>
      </c>
      <c r="F175" t="s">
        <v>15</v>
      </c>
      <c r="G175" t="str">
        <f>IF(ISBLANK(Table1[[#This Row],[State]]),"Unknown",Table1[[#This Row],[State]])</f>
        <v>Maharashtra</v>
      </c>
      <c r="H175" t="s">
        <v>33</v>
      </c>
      <c r="I175" t="s">
        <v>21</v>
      </c>
      <c r="J175" t="str">
        <f>IF(ISBLANK(Table1[[#This Row],[Product]]),"Unknown",Table1[[#This Row],[Product]])</f>
        <v>Headphones</v>
      </c>
      <c r="K175" s="3">
        <v>2</v>
      </c>
      <c r="L175" s="10">
        <v>499</v>
      </c>
      <c r="M175" t="s">
        <v>11</v>
      </c>
      <c r="N175" t="str">
        <f>IF(ISBLANK(Table1[[#This Row],[Payment method]]),"Unknown",Table1[[#This Row],[Payment method]])</f>
        <v>Cash on Delivery</v>
      </c>
      <c r="O175" t="s">
        <v>12</v>
      </c>
      <c r="P175" t="str">
        <f>IF(Table1[[#This Row],[Unit price]]&gt;2000,"High Price","Standard Price")</f>
        <v>Standard Price</v>
      </c>
    </row>
    <row r="176" spans="1:16" x14ac:dyDescent="0.3">
      <c r="A176" s="3">
        <v>10175</v>
      </c>
      <c r="B176" s="1">
        <v>45674</v>
      </c>
      <c r="C176" s="3" t="s">
        <v>148</v>
      </c>
      <c r="D176" s="3" t="s">
        <v>14</v>
      </c>
      <c r="E176" t="s">
        <v>35</v>
      </c>
      <c r="F176" t="s">
        <v>15</v>
      </c>
      <c r="G176" t="str">
        <f>IF(ISBLANK(Table1[[#This Row],[State]]),"Unknown",Table1[[#This Row],[State]])</f>
        <v>Maharashtra</v>
      </c>
      <c r="H176" t="s">
        <v>9</v>
      </c>
      <c r="I176" t="s">
        <v>16</v>
      </c>
      <c r="J176" t="str">
        <f>IF(ISBLANK(Table1[[#This Row],[Product]]),"Unknown",Table1[[#This Row],[Product]])</f>
        <v>Lamp</v>
      </c>
      <c r="K176" s="3">
        <v>5</v>
      </c>
      <c r="L176" s="10">
        <v>499</v>
      </c>
      <c r="M176" t="s">
        <v>4</v>
      </c>
      <c r="N176" t="str">
        <f>IF(ISBLANK(Table1[[#This Row],[Payment method]]),"Unknown",Table1[[#This Row],[Payment method]])</f>
        <v>Net Banking</v>
      </c>
      <c r="O176" t="s">
        <v>12</v>
      </c>
      <c r="P176" t="str">
        <f>IF(Table1[[#This Row],[Unit price]]&gt;2000,"High Price","Standard Price")</f>
        <v>Standard Price</v>
      </c>
    </row>
    <row r="177" spans="1:16" x14ac:dyDescent="0.3">
      <c r="A177" s="3">
        <v>10176</v>
      </c>
      <c r="B177" s="1">
        <v>45698</v>
      </c>
      <c r="C177" s="3" t="s">
        <v>149</v>
      </c>
      <c r="D177" s="3" t="s">
        <v>39</v>
      </c>
      <c r="E177" t="s">
        <v>45</v>
      </c>
      <c r="F177" t="s">
        <v>54</v>
      </c>
      <c r="G177" t="str">
        <f>IF(ISBLANK(Table1[[#This Row],[State]]),"Unknown",Table1[[#This Row],[State]])</f>
        <v>Uttar Pradesh</v>
      </c>
      <c r="H177" t="s">
        <v>33</v>
      </c>
      <c r="I177" t="s">
        <v>37</v>
      </c>
      <c r="J177" t="str">
        <f>IF(ISBLANK(Table1[[#This Row],[Product]]),"Unknown",Table1[[#This Row],[Product]])</f>
        <v>Mouse</v>
      </c>
      <c r="K177" s="3">
        <v>2</v>
      </c>
      <c r="L177" s="10">
        <v>-100</v>
      </c>
      <c r="N177" t="str">
        <f>IF(ISBLANK(Table1[[#This Row],[Payment method]]),"Unknown",Table1[[#This Row],[Payment method]])</f>
        <v>Unknown</v>
      </c>
      <c r="O177" t="s">
        <v>58</v>
      </c>
      <c r="P177" t="str">
        <f>IF(Table1[[#This Row],[Unit price]]&gt;2000,"High Price","Standard Price")</f>
        <v>Standard Price</v>
      </c>
    </row>
    <row r="178" spans="1:16" x14ac:dyDescent="0.3">
      <c r="A178" s="3">
        <v>10177</v>
      </c>
      <c r="B178" s="1">
        <v>45816</v>
      </c>
      <c r="C178" s="3" t="s">
        <v>115</v>
      </c>
      <c r="D178" s="3" t="s">
        <v>1</v>
      </c>
      <c r="E178" t="s">
        <v>8</v>
      </c>
      <c r="F178" t="s">
        <v>52</v>
      </c>
      <c r="G178" t="str">
        <f>IF(ISBLANK(Table1[[#This Row],[State]]),"Unknown",Table1[[#This Row],[State]])</f>
        <v>Karnataka</v>
      </c>
      <c r="H178" t="s">
        <v>2</v>
      </c>
      <c r="I178" t="s">
        <v>24</v>
      </c>
      <c r="J178" t="str">
        <f>IF(ISBLANK(Table1[[#This Row],[Product]]),"Unknown",Table1[[#This Row],[Product]])</f>
        <v>Jeans</v>
      </c>
      <c r="K178" s="3">
        <v>4</v>
      </c>
      <c r="L178" s="10">
        <v>799</v>
      </c>
      <c r="N178" t="str">
        <f>IF(ISBLANK(Table1[[#This Row],[Payment method]]),"Unknown",Table1[[#This Row],[Payment method]])</f>
        <v>Unknown</v>
      </c>
      <c r="O178" t="s">
        <v>58</v>
      </c>
      <c r="P178" t="str">
        <f>IF(Table1[[#This Row],[Unit price]]&gt;2000,"High Price","Standard Price")</f>
        <v>Standard Price</v>
      </c>
    </row>
    <row r="179" spans="1:16" x14ac:dyDescent="0.3">
      <c r="A179" s="3">
        <v>10178</v>
      </c>
      <c r="B179" s="1">
        <v>45752</v>
      </c>
      <c r="C179" s="3" t="s">
        <v>95</v>
      </c>
      <c r="D179" s="3" t="s">
        <v>14</v>
      </c>
      <c r="E179" t="s">
        <v>247</v>
      </c>
      <c r="F179" t="s">
        <v>15</v>
      </c>
      <c r="G179" t="str">
        <f>IF(ISBLANK(Table1[[#This Row],[State]]),"Unknown",Table1[[#This Row],[State]])</f>
        <v>Maharashtra</v>
      </c>
      <c r="H179" t="s">
        <v>9</v>
      </c>
      <c r="I179" t="s">
        <v>10</v>
      </c>
      <c r="J179" t="str">
        <f>IF(ISBLANK(Table1[[#This Row],[Product]]),"Unknown",Table1[[#This Row],[Product]])</f>
        <v>Chair</v>
      </c>
      <c r="K179" s="3">
        <v>1</v>
      </c>
      <c r="L179" s="10">
        <v>299</v>
      </c>
      <c r="N179" t="str">
        <f>IF(ISBLANK(Table1[[#This Row],[Payment method]]),"Unknown",Table1[[#This Row],[Payment method]])</f>
        <v>Unknown</v>
      </c>
      <c r="O179" t="s">
        <v>17</v>
      </c>
      <c r="P179" t="str">
        <f>IF(Table1[[#This Row],[Unit price]]&gt;2000,"High Price","Standard Price")</f>
        <v>Standard Price</v>
      </c>
    </row>
    <row r="180" spans="1:16" x14ac:dyDescent="0.3">
      <c r="A180" s="3">
        <v>10179</v>
      </c>
      <c r="B180" s="1">
        <v>45690</v>
      </c>
      <c r="C180" s="3" t="s">
        <v>150</v>
      </c>
      <c r="D180" s="3" t="s">
        <v>57</v>
      </c>
      <c r="E180" t="s">
        <v>45</v>
      </c>
      <c r="F180" t="s">
        <v>54</v>
      </c>
      <c r="G180" t="str">
        <f>IF(ISBLANK(Table1[[#This Row],[State]]),"Unknown",Table1[[#This Row],[State]])</f>
        <v>Uttar Pradesh</v>
      </c>
      <c r="H180" t="s">
        <v>33</v>
      </c>
      <c r="I180" t="s">
        <v>21</v>
      </c>
      <c r="J180" t="str">
        <f>IF(ISBLANK(Table1[[#This Row],[Product]]),"Unknown",Table1[[#This Row],[Product]])</f>
        <v>Headphones</v>
      </c>
      <c r="K180" s="3">
        <v>1</v>
      </c>
      <c r="L180" s="10">
        <v>1299</v>
      </c>
      <c r="M180" t="s">
        <v>26</v>
      </c>
      <c r="N180" t="str">
        <f>IF(ISBLANK(Table1[[#This Row],[Payment method]]),"Unknown",Table1[[#This Row],[Payment method]])</f>
        <v>Card</v>
      </c>
      <c r="O180" t="s">
        <v>58</v>
      </c>
      <c r="P180" t="str">
        <f>IF(Table1[[#This Row],[Unit price]]&gt;2000,"High Price","Standard Price")</f>
        <v>Standard Price</v>
      </c>
    </row>
    <row r="181" spans="1:16" x14ac:dyDescent="0.3">
      <c r="A181" s="3">
        <v>10180</v>
      </c>
      <c r="B181" s="1">
        <v>45783</v>
      </c>
      <c r="C181" s="3" t="s">
        <v>150</v>
      </c>
      <c r="D181" s="3" t="s">
        <v>57</v>
      </c>
      <c r="E181" t="s">
        <v>32</v>
      </c>
      <c r="F181" t="s">
        <v>15</v>
      </c>
      <c r="G181" t="str">
        <f>IF(ISBLANK(Table1[[#This Row],[State]]),"Unknown",Table1[[#This Row],[State]])</f>
        <v>Maharashtra</v>
      </c>
      <c r="H181" t="s">
        <v>9</v>
      </c>
      <c r="I181" t="s">
        <v>10</v>
      </c>
      <c r="J181" t="str">
        <f>IF(ISBLANK(Table1[[#This Row],[Product]]),"Unknown",Table1[[#This Row],[Product]])</f>
        <v>Chair</v>
      </c>
      <c r="K181" s="3">
        <v>5</v>
      </c>
      <c r="L181" s="10">
        <v>1999</v>
      </c>
      <c r="M181" t="s">
        <v>11</v>
      </c>
      <c r="N181" t="str">
        <f>IF(ISBLANK(Table1[[#This Row],[Payment method]]),"Unknown",Table1[[#This Row],[Payment method]])</f>
        <v>Cash on Delivery</v>
      </c>
      <c r="O181" t="s">
        <v>58</v>
      </c>
      <c r="P181" t="str">
        <f>IF(Table1[[#This Row],[Unit price]]&gt;2000,"High Price","Standard Price")</f>
        <v>Standard Price</v>
      </c>
    </row>
    <row r="182" spans="1:16" x14ac:dyDescent="0.3">
      <c r="A182" s="3">
        <v>10181</v>
      </c>
      <c r="B182" s="1">
        <v>45704</v>
      </c>
      <c r="C182" s="3" t="s">
        <v>140</v>
      </c>
      <c r="D182" s="3" t="s">
        <v>39</v>
      </c>
      <c r="E182" t="s">
        <v>8</v>
      </c>
      <c r="F182" t="s">
        <v>52</v>
      </c>
      <c r="G182" t="str">
        <f>IF(ISBLANK(Table1[[#This Row],[State]]),"Unknown",Table1[[#This Row],[State]])</f>
        <v>Karnataka</v>
      </c>
      <c r="H182" t="s">
        <v>2</v>
      </c>
      <c r="J182" t="str">
        <f>IF(ISBLANK(Table1[[#This Row],[Product]]),"Unknown",Table1[[#This Row],[Product]])</f>
        <v>Unknown</v>
      </c>
      <c r="K182" s="3">
        <v>4</v>
      </c>
      <c r="L182" s="10">
        <v>499</v>
      </c>
      <c r="N182" t="str">
        <f>IF(ISBLANK(Table1[[#This Row],[Payment method]]),"Unknown",Table1[[#This Row],[Payment method]])</f>
        <v>Unknown</v>
      </c>
      <c r="O182" t="s">
        <v>17</v>
      </c>
      <c r="P182" t="str">
        <f>IF(Table1[[#This Row],[Unit price]]&gt;2000,"High Price","Standard Price")</f>
        <v>Standard Price</v>
      </c>
    </row>
    <row r="183" spans="1:16" x14ac:dyDescent="0.3">
      <c r="A183" s="3">
        <v>10182</v>
      </c>
      <c r="B183" s="1">
        <v>45760</v>
      </c>
      <c r="C183" s="3" t="s">
        <v>118</v>
      </c>
      <c r="D183" s="3" t="s">
        <v>14</v>
      </c>
      <c r="E183" t="s">
        <v>45</v>
      </c>
      <c r="F183" t="s">
        <v>54</v>
      </c>
      <c r="G183" t="str">
        <f>IF(ISBLANK(Table1[[#This Row],[State]]),"Unknown",Table1[[#This Row],[State]])</f>
        <v>Uttar Pradesh</v>
      </c>
      <c r="H183" t="s">
        <v>33</v>
      </c>
      <c r="I183" t="s">
        <v>21</v>
      </c>
      <c r="J183" t="str">
        <f>IF(ISBLANK(Table1[[#This Row],[Product]]),"Unknown",Table1[[#This Row],[Product]])</f>
        <v>Headphones</v>
      </c>
      <c r="K183" s="3">
        <v>3</v>
      </c>
      <c r="L183" s="10">
        <v>1299</v>
      </c>
      <c r="M183" t="s">
        <v>4</v>
      </c>
      <c r="N183" t="str">
        <f>IF(ISBLANK(Table1[[#This Row],[Payment method]]),"Unknown",Table1[[#This Row],[Payment method]])</f>
        <v>Net Banking</v>
      </c>
      <c r="O183" t="s">
        <v>5</v>
      </c>
      <c r="P183" t="str">
        <f>IF(Table1[[#This Row],[Unit price]]&gt;2000,"High Price","Standard Price")</f>
        <v>Standard Price</v>
      </c>
    </row>
    <row r="184" spans="1:16" x14ac:dyDescent="0.3">
      <c r="A184" s="3">
        <v>10183</v>
      </c>
      <c r="B184" s="1">
        <v>45694</v>
      </c>
      <c r="C184" s="3" t="s">
        <v>38</v>
      </c>
      <c r="D184" s="3" t="s">
        <v>23</v>
      </c>
      <c r="E184" t="s">
        <v>32</v>
      </c>
      <c r="F184" t="s">
        <v>15</v>
      </c>
      <c r="G184" t="str">
        <f>IF(ISBLANK(Table1[[#This Row],[State]]),"Unknown",Table1[[#This Row],[State]])</f>
        <v>Maharashtra</v>
      </c>
      <c r="H184" t="s">
        <v>9</v>
      </c>
      <c r="I184" t="s">
        <v>10</v>
      </c>
      <c r="J184" t="str">
        <f>IF(ISBLANK(Table1[[#This Row],[Product]]),"Unknown",Table1[[#This Row],[Product]])</f>
        <v>Chair</v>
      </c>
      <c r="K184" s="3">
        <v>2</v>
      </c>
      <c r="L184" s="10">
        <v>299</v>
      </c>
      <c r="M184" t="s">
        <v>11</v>
      </c>
      <c r="N184" t="str">
        <f>IF(ISBLANK(Table1[[#This Row],[Payment method]]),"Unknown",Table1[[#This Row],[Payment method]])</f>
        <v>Cash on Delivery</v>
      </c>
      <c r="O184" t="s">
        <v>58</v>
      </c>
      <c r="P184" t="str">
        <f>IF(Table1[[#This Row],[Unit price]]&gt;2000,"High Price","Standard Price")</f>
        <v>Standard Price</v>
      </c>
    </row>
    <row r="185" spans="1:16" x14ac:dyDescent="0.3">
      <c r="A185" s="3">
        <v>10184</v>
      </c>
      <c r="B185" s="1">
        <v>45823</v>
      </c>
      <c r="C185" s="3" t="s">
        <v>151</v>
      </c>
      <c r="D185" s="3" t="s">
        <v>1</v>
      </c>
      <c r="E185" t="s">
        <v>20</v>
      </c>
      <c r="F185" t="s">
        <v>20</v>
      </c>
      <c r="G185" t="str">
        <f>IF(ISBLANK(Table1[[#This Row],[State]]),"Unknown",Table1[[#This Row],[State]])</f>
        <v>Delhi</v>
      </c>
      <c r="H185" t="s">
        <v>33</v>
      </c>
      <c r="I185" t="s">
        <v>21</v>
      </c>
      <c r="J185" t="str">
        <f>IF(ISBLANK(Table1[[#This Row],[Product]]),"Unknown",Table1[[#This Row],[Product]])</f>
        <v>Headphones</v>
      </c>
      <c r="K185" s="3">
        <v>4</v>
      </c>
      <c r="L185" s="10">
        <v>499</v>
      </c>
      <c r="M185" t="s">
        <v>4</v>
      </c>
      <c r="N185" t="str">
        <f>IF(ISBLANK(Table1[[#This Row],[Payment method]]),"Unknown",Table1[[#This Row],[Payment method]])</f>
        <v>Net Banking</v>
      </c>
      <c r="O185" t="s">
        <v>17</v>
      </c>
      <c r="P185" t="str">
        <f>IF(Table1[[#This Row],[Unit price]]&gt;2000,"High Price","Standard Price")</f>
        <v>Standard Price</v>
      </c>
    </row>
    <row r="186" spans="1:16" x14ac:dyDescent="0.3">
      <c r="A186" s="3">
        <v>10185</v>
      </c>
      <c r="B186" s="1">
        <v>45793</v>
      </c>
      <c r="C186" s="3" t="s">
        <v>93</v>
      </c>
      <c r="D186" s="3" t="s">
        <v>1</v>
      </c>
      <c r="E186" t="s">
        <v>20</v>
      </c>
      <c r="F186" t="s">
        <v>20</v>
      </c>
      <c r="G186" t="str">
        <f>IF(ISBLANK(Table1[[#This Row],[State]]),"Unknown",Table1[[#This Row],[State]])</f>
        <v>Delhi</v>
      </c>
      <c r="H186" t="s">
        <v>33</v>
      </c>
      <c r="I186" t="s">
        <v>49</v>
      </c>
      <c r="J186" t="str">
        <f>IF(ISBLANK(Table1[[#This Row],[Product]]),"Unknown",Table1[[#This Row],[Product]])</f>
        <v>Keyboard</v>
      </c>
      <c r="K186" s="3">
        <v>5</v>
      </c>
      <c r="L186" s="10">
        <v>299</v>
      </c>
      <c r="N186" t="str">
        <f>IF(ISBLANK(Table1[[#This Row],[Payment method]]),"Unknown",Table1[[#This Row],[Payment method]])</f>
        <v>Unknown</v>
      </c>
      <c r="O186" t="s">
        <v>5</v>
      </c>
      <c r="P186" t="str">
        <f>IF(Table1[[#This Row],[Unit price]]&gt;2000,"High Price","Standard Price")</f>
        <v>Standard Price</v>
      </c>
    </row>
    <row r="187" spans="1:16" x14ac:dyDescent="0.3">
      <c r="A187" s="3">
        <v>10186</v>
      </c>
      <c r="B187" s="1">
        <v>45803</v>
      </c>
      <c r="C187" s="3" t="s">
        <v>104</v>
      </c>
      <c r="D187" s="3" t="s">
        <v>1</v>
      </c>
      <c r="E187" t="s">
        <v>45</v>
      </c>
      <c r="F187" t="s">
        <v>54</v>
      </c>
      <c r="G187" t="str">
        <f>IF(ISBLANK(Table1[[#This Row],[State]]),"Unknown",Table1[[#This Row],[State]])</f>
        <v>Uttar Pradesh</v>
      </c>
      <c r="H187" t="s">
        <v>2</v>
      </c>
      <c r="I187" t="s">
        <v>3</v>
      </c>
      <c r="J187" t="str">
        <f>IF(ISBLANK(Table1[[#This Row],[Product]]),"Unknown",Table1[[#This Row],[Product]])</f>
        <v>T-Shirt</v>
      </c>
      <c r="K187" s="3">
        <v>5</v>
      </c>
      <c r="L187" s="10">
        <v>799</v>
      </c>
      <c r="M187" t="s">
        <v>4</v>
      </c>
      <c r="N187" t="str">
        <f>IF(ISBLANK(Table1[[#This Row],[Payment method]]),"Unknown",Table1[[#This Row],[Payment method]])</f>
        <v>Net Banking</v>
      </c>
      <c r="O187" t="s">
        <v>5</v>
      </c>
      <c r="P187" t="str">
        <f>IF(Table1[[#This Row],[Unit price]]&gt;2000,"High Price","Standard Price")</f>
        <v>Standard Price</v>
      </c>
    </row>
    <row r="188" spans="1:16" x14ac:dyDescent="0.3">
      <c r="A188" s="3">
        <v>10187</v>
      </c>
      <c r="B188" s="1">
        <v>45675</v>
      </c>
      <c r="C188" s="3" t="s">
        <v>119</v>
      </c>
      <c r="D188" s="3" t="s">
        <v>1</v>
      </c>
      <c r="E188" t="s">
        <v>8</v>
      </c>
      <c r="F188" t="s">
        <v>52</v>
      </c>
      <c r="G188" t="str">
        <f>IF(ISBLANK(Table1[[#This Row],[State]]),"Unknown",Table1[[#This Row],[State]])</f>
        <v>Karnataka</v>
      </c>
      <c r="H188" t="s">
        <v>2</v>
      </c>
      <c r="I188" t="s">
        <v>3</v>
      </c>
      <c r="J188" t="str">
        <f>IF(ISBLANK(Table1[[#This Row],[Product]]),"Unknown",Table1[[#This Row],[Product]])</f>
        <v>T-Shirt</v>
      </c>
      <c r="K188" s="3">
        <v>1</v>
      </c>
      <c r="L188" s="10">
        <v>499</v>
      </c>
      <c r="M188" t="s">
        <v>11</v>
      </c>
      <c r="N188" t="str">
        <f>IF(ISBLANK(Table1[[#This Row],[Payment method]]),"Unknown",Table1[[#This Row],[Payment method]])</f>
        <v>Cash on Delivery</v>
      </c>
      <c r="O188" t="s">
        <v>5</v>
      </c>
      <c r="P188" t="str">
        <f>IF(Table1[[#This Row],[Unit price]]&gt;2000,"High Price","Standard Price")</f>
        <v>Standard Price</v>
      </c>
    </row>
    <row r="189" spans="1:16" x14ac:dyDescent="0.3">
      <c r="A189" s="3">
        <v>10188</v>
      </c>
      <c r="B189" s="1">
        <v>45711</v>
      </c>
      <c r="C189" s="3" t="s">
        <v>138</v>
      </c>
      <c r="D189" s="3" t="s">
        <v>57</v>
      </c>
      <c r="E189" t="s">
        <v>32</v>
      </c>
      <c r="F189" t="s">
        <v>15</v>
      </c>
      <c r="G189" t="str">
        <f>IF(ISBLANK(Table1[[#This Row],[State]]),"Unknown",Table1[[#This Row],[State]])</f>
        <v>Maharashtra</v>
      </c>
      <c r="H189" t="s">
        <v>33</v>
      </c>
      <c r="I189" t="s">
        <v>49</v>
      </c>
      <c r="J189" t="str">
        <f>IF(ISBLANK(Table1[[#This Row],[Product]]),"Unknown",Table1[[#This Row],[Product]])</f>
        <v>Keyboard</v>
      </c>
      <c r="K189" s="3">
        <v>4</v>
      </c>
      <c r="L189" s="10">
        <v>1999</v>
      </c>
      <c r="N189" t="str">
        <f>IF(ISBLANK(Table1[[#This Row],[Payment method]]),"Unknown",Table1[[#This Row],[Payment method]])</f>
        <v>Unknown</v>
      </c>
      <c r="O189" t="s">
        <v>5</v>
      </c>
      <c r="P189" t="str">
        <f>IF(Table1[[#This Row],[Unit price]]&gt;2000,"High Price","Standard Price")</f>
        <v>Standard Price</v>
      </c>
    </row>
    <row r="190" spans="1:16" x14ac:dyDescent="0.3">
      <c r="A190" s="3">
        <v>10189</v>
      </c>
      <c r="B190" s="1">
        <v>45800</v>
      </c>
      <c r="C190" s="3" t="s">
        <v>152</v>
      </c>
      <c r="D190" s="3" t="s">
        <v>39</v>
      </c>
      <c r="E190" t="s">
        <v>45</v>
      </c>
      <c r="F190" t="s">
        <v>54</v>
      </c>
      <c r="G190" t="str">
        <f>IF(ISBLANK(Table1[[#This Row],[State]]),"Unknown",Table1[[#This Row],[State]])</f>
        <v>Uttar Pradesh</v>
      </c>
      <c r="H190" t="s">
        <v>2</v>
      </c>
      <c r="I190" t="s">
        <v>24</v>
      </c>
      <c r="J190" t="str">
        <f>IF(ISBLANK(Table1[[#This Row],[Product]]),"Unknown",Table1[[#This Row],[Product]])</f>
        <v>Jeans</v>
      </c>
      <c r="K190" s="3">
        <v>3</v>
      </c>
      <c r="L190" s="10">
        <v>1999</v>
      </c>
      <c r="N190" t="str">
        <f>IF(ISBLANK(Table1[[#This Row],[Payment method]]),"Unknown",Table1[[#This Row],[Payment method]])</f>
        <v>Unknown</v>
      </c>
      <c r="O190" t="s">
        <v>58</v>
      </c>
      <c r="P190" t="str">
        <f>IF(Table1[[#This Row],[Unit price]]&gt;2000,"High Price","Standard Price")</f>
        <v>Standard Price</v>
      </c>
    </row>
    <row r="191" spans="1:16" x14ac:dyDescent="0.3">
      <c r="A191" s="3">
        <v>10190</v>
      </c>
      <c r="B191" s="1">
        <v>45823</v>
      </c>
      <c r="C191" s="3" t="s">
        <v>50</v>
      </c>
      <c r="D191" s="3" t="s">
        <v>19</v>
      </c>
      <c r="E191" t="s">
        <v>45</v>
      </c>
      <c r="F191" t="s">
        <v>54</v>
      </c>
      <c r="G191" t="str">
        <f>IF(ISBLANK(Table1[[#This Row],[State]]),"Unknown",Table1[[#This Row],[State]])</f>
        <v>Uttar Pradesh</v>
      </c>
      <c r="H191" t="s">
        <v>2</v>
      </c>
      <c r="I191" t="s">
        <v>3</v>
      </c>
      <c r="J191" t="str">
        <f>IF(ISBLANK(Table1[[#This Row],[Product]]),"Unknown",Table1[[#This Row],[Product]])</f>
        <v>T-Shirt</v>
      </c>
      <c r="K191" s="3">
        <v>4</v>
      </c>
      <c r="L191" s="10">
        <v>799</v>
      </c>
      <c r="N191" t="str">
        <f>IF(ISBLANK(Table1[[#This Row],[Payment method]]),"Unknown",Table1[[#This Row],[Payment method]])</f>
        <v>Unknown</v>
      </c>
      <c r="O191" t="s">
        <v>17</v>
      </c>
      <c r="P191" t="str">
        <f>IF(Table1[[#This Row],[Unit price]]&gt;2000,"High Price","Standard Price")</f>
        <v>Standard Price</v>
      </c>
    </row>
    <row r="192" spans="1:16" x14ac:dyDescent="0.3">
      <c r="A192" s="3">
        <v>10191</v>
      </c>
      <c r="B192" s="1">
        <v>45750</v>
      </c>
      <c r="C192" s="3" t="s">
        <v>153</v>
      </c>
      <c r="D192" s="3" t="s">
        <v>23</v>
      </c>
      <c r="E192" t="s">
        <v>45</v>
      </c>
      <c r="F192" t="s">
        <v>54</v>
      </c>
      <c r="G192" t="str">
        <f>IF(ISBLANK(Table1[[#This Row],[State]]),"Unknown",Table1[[#This Row],[State]])</f>
        <v>Uttar Pradesh</v>
      </c>
      <c r="H192" t="s">
        <v>33</v>
      </c>
      <c r="I192" t="s">
        <v>37</v>
      </c>
      <c r="J192" t="str">
        <f>IF(ISBLANK(Table1[[#This Row],[Product]]),"Unknown",Table1[[#This Row],[Product]])</f>
        <v>Mouse</v>
      </c>
      <c r="K192" s="3">
        <v>4</v>
      </c>
      <c r="L192" s="10">
        <v>299</v>
      </c>
      <c r="M192" t="s">
        <v>4</v>
      </c>
      <c r="N192" t="str">
        <f>IF(ISBLANK(Table1[[#This Row],[Payment method]]),"Unknown",Table1[[#This Row],[Payment method]])</f>
        <v>Net Banking</v>
      </c>
      <c r="O192" t="s">
        <v>5</v>
      </c>
      <c r="P192" t="str">
        <f>IF(Table1[[#This Row],[Unit price]]&gt;2000,"High Price","Standard Price")</f>
        <v>Standard Price</v>
      </c>
    </row>
    <row r="193" spans="1:16" x14ac:dyDescent="0.3">
      <c r="A193" s="3">
        <v>10192</v>
      </c>
      <c r="B193" s="1">
        <v>45803</v>
      </c>
      <c r="C193" s="3" t="s">
        <v>154</v>
      </c>
      <c r="D193" s="3" t="s">
        <v>19</v>
      </c>
      <c r="E193" t="s">
        <v>8</v>
      </c>
      <c r="F193" t="s">
        <v>52</v>
      </c>
      <c r="G193" t="str">
        <f>IF(ISBLANK(Table1[[#This Row],[State]]),"Unknown",Table1[[#This Row],[State]])</f>
        <v>Karnataka</v>
      </c>
      <c r="H193" t="s">
        <v>33</v>
      </c>
      <c r="I193" t="s">
        <v>49</v>
      </c>
      <c r="J193" t="str">
        <f>IF(ISBLANK(Table1[[#This Row],[Product]]),"Unknown",Table1[[#This Row],[Product]])</f>
        <v>Keyboard</v>
      </c>
      <c r="K193" s="3">
        <v>1</v>
      </c>
      <c r="L193" s="10">
        <v>1299</v>
      </c>
      <c r="N193" t="str">
        <f>IF(ISBLANK(Table1[[#This Row],[Payment method]]),"Unknown",Table1[[#This Row],[Payment method]])</f>
        <v>Unknown</v>
      </c>
      <c r="O193" t="s">
        <v>58</v>
      </c>
      <c r="P193" t="str">
        <f>IF(Table1[[#This Row],[Unit price]]&gt;2000,"High Price","Standard Price")</f>
        <v>Standard Price</v>
      </c>
    </row>
    <row r="194" spans="1:16" x14ac:dyDescent="0.3">
      <c r="A194" s="3">
        <v>10193</v>
      </c>
      <c r="B194" s="1">
        <v>45729</v>
      </c>
      <c r="C194" s="3" t="s">
        <v>119</v>
      </c>
      <c r="D194" s="3" t="s">
        <v>1</v>
      </c>
      <c r="E194" t="s">
        <v>20</v>
      </c>
      <c r="F194" t="s">
        <v>20</v>
      </c>
      <c r="G194" t="str">
        <f>IF(ISBLANK(Table1[[#This Row],[State]]),"Unknown",Table1[[#This Row],[State]])</f>
        <v>Delhi</v>
      </c>
      <c r="H194" t="s">
        <v>33</v>
      </c>
      <c r="I194" t="s">
        <v>37</v>
      </c>
      <c r="J194" t="str">
        <f>IF(ISBLANK(Table1[[#This Row],[Product]]),"Unknown",Table1[[#This Row],[Product]])</f>
        <v>Mouse</v>
      </c>
      <c r="K194" s="3">
        <v>4</v>
      </c>
      <c r="L194" s="10">
        <v>1299</v>
      </c>
      <c r="M194" t="s">
        <v>11</v>
      </c>
      <c r="N194" t="str">
        <f>IF(ISBLANK(Table1[[#This Row],[Payment method]]),"Unknown",Table1[[#This Row],[Payment method]])</f>
        <v>Cash on Delivery</v>
      </c>
      <c r="O194" t="s">
        <v>5</v>
      </c>
      <c r="P194" t="str">
        <f>IF(Table1[[#This Row],[Unit price]]&gt;2000,"High Price","Standard Price")</f>
        <v>Standard Price</v>
      </c>
    </row>
    <row r="195" spans="1:16" x14ac:dyDescent="0.3">
      <c r="A195" s="3">
        <v>10194</v>
      </c>
      <c r="B195" s="1">
        <v>45818</v>
      </c>
      <c r="C195" s="3" t="s">
        <v>89</v>
      </c>
      <c r="D195" s="3" t="s">
        <v>23</v>
      </c>
      <c r="E195" t="s">
        <v>35</v>
      </c>
      <c r="F195" t="s">
        <v>15</v>
      </c>
      <c r="G195" t="str">
        <f>IF(ISBLANK(Table1[[#This Row],[State]]),"Unknown",Table1[[#This Row],[State]])</f>
        <v>Maharashtra</v>
      </c>
      <c r="H195" t="s">
        <v>33</v>
      </c>
      <c r="I195" t="s">
        <v>21</v>
      </c>
      <c r="J195" t="str">
        <f>IF(ISBLANK(Table1[[#This Row],[Product]]),"Unknown",Table1[[#This Row],[Product]])</f>
        <v>Headphones</v>
      </c>
      <c r="K195" s="3">
        <v>0</v>
      </c>
      <c r="L195" s="10">
        <v>1299</v>
      </c>
      <c r="M195" t="s">
        <v>4</v>
      </c>
      <c r="N195" t="str">
        <f>IF(ISBLANK(Table1[[#This Row],[Payment method]]),"Unknown",Table1[[#This Row],[Payment method]])</f>
        <v>Net Banking</v>
      </c>
      <c r="O195" t="s">
        <v>5</v>
      </c>
      <c r="P195" t="str">
        <f>IF(Table1[[#This Row],[Unit price]]&gt;2000,"High Price","Standard Price")</f>
        <v>Standard Price</v>
      </c>
    </row>
    <row r="196" spans="1:16" x14ac:dyDescent="0.3">
      <c r="A196" s="3">
        <v>10195</v>
      </c>
      <c r="B196" s="1">
        <v>45712</v>
      </c>
      <c r="C196" s="3" t="s">
        <v>155</v>
      </c>
      <c r="D196" s="3" t="s">
        <v>1</v>
      </c>
      <c r="E196" t="s">
        <v>35</v>
      </c>
      <c r="G196" t="str">
        <f>IF(ISBLANK(Table1[[#This Row],[State]]),"Unknown",Table1[[#This Row],[State]])</f>
        <v>Unknown</v>
      </c>
      <c r="H196" t="s">
        <v>9</v>
      </c>
      <c r="I196" t="s">
        <v>16</v>
      </c>
      <c r="J196" t="str">
        <f>IF(ISBLANK(Table1[[#This Row],[Product]]),"Unknown",Table1[[#This Row],[Product]])</f>
        <v>Lamp</v>
      </c>
      <c r="K196" s="3">
        <v>5</v>
      </c>
      <c r="L196" s="10">
        <v>1299</v>
      </c>
      <c r="M196" t="s">
        <v>4</v>
      </c>
      <c r="N196" t="str">
        <f>IF(ISBLANK(Table1[[#This Row],[Payment method]]),"Unknown",Table1[[#This Row],[Payment method]])</f>
        <v>Net Banking</v>
      </c>
      <c r="O196" t="s">
        <v>12</v>
      </c>
      <c r="P196" t="str">
        <f>IF(Table1[[#This Row],[Unit price]]&gt;2000,"High Price","Standard Price")</f>
        <v>Standard Price</v>
      </c>
    </row>
    <row r="197" spans="1:16" x14ac:dyDescent="0.3">
      <c r="A197" s="3">
        <v>10196</v>
      </c>
      <c r="B197" s="1">
        <v>45659</v>
      </c>
      <c r="C197" s="3" t="s">
        <v>115</v>
      </c>
      <c r="D197" s="3" t="s">
        <v>14</v>
      </c>
      <c r="E197" t="s">
        <v>32</v>
      </c>
      <c r="F197" t="s">
        <v>15</v>
      </c>
      <c r="G197" t="str">
        <f>IF(ISBLANK(Table1[[#This Row],[State]]),"Unknown",Table1[[#This Row],[State]])</f>
        <v>Maharashtra</v>
      </c>
      <c r="H197" t="s">
        <v>2</v>
      </c>
      <c r="I197" t="s">
        <v>24</v>
      </c>
      <c r="J197" t="str">
        <f>IF(ISBLANK(Table1[[#This Row],[Product]]),"Unknown",Table1[[#This Row],[Product]])</f>
        <v>Jeans</v>
      </c>
      <c r="K197" s="3">
        <v>2</v>
      </c>
      <c r="L197" s="10">
        <v>499</v>
      </c>
      <c r="M197" t="s">
        <v>4</v>
      </c>
      <c r="N197" t="str">
        <f>IF(ISBLANK(Table1[[#This Row],[Payment method]]),"Unknown",Table1[[#This Row],[Payment method]])</f>
        <v>Net Banking</v>
      </c>
      <c r="O197" t="s">
        <v>12</v>
      </c>
      <c r="P197" t="str">
        <f>IF(Table1[[#This Row],[Unit price]]&gt;2000,"High Price","Standard Price")</f>
        <v>Standard Price</v>
      </c>
    </row>
    <row r="198" spans="1:16" x14ac:dyDescent="0.3">
      <c r="A198" s="3">
        <v>10197</v>
      </c>
      <c r="B198" s="1">
        <v>45708</v>
      </c>
      <c r="C198" s="3" t="s">
        <v>156</v>
      </c>
      <c r="D198" s="3" t="s">
        <v>43</v>
      </c>
      <c r="E198" t="s">
        <v>20</v>
      </c>
      <c r="F198" t="s">
        <v>20</v>
      </c>
      <c r="G198" t="str">
        <f>IF(ISBLANK(Table1[[#This Row],[State]]),"Unknown",Table1[[#This Row],[State]])</f>
        <v>Delhi</v>
      </c>
      <c r="H198" t="s">
        <v>2</v>
      </c>
      <c r="I198" t="s">
        <v>24</v>
      </c>
      <c r="J198" t="str">
        <f>IF(ISBLANK(Table1[[#This Row],[Product]]),"Unknown",Table1[[#This Row],[Product]])</f>
        <v>Jeans</v>
      </c>
      <c r="K198" s="3">
        <v>4</v>
      </c>
      <c r="L198" s="10">
        <v>499</v>
      </c>
      <c r="N198" t="str">
        <f>IF(ISBLANK(Table1[[#This Row],[Payment method]]),"Unknown",Table1[[#This Row],[Payment method]])</f>
        <v>Unknown</v>
      </c>
      <c r="O198" t="s">
        <v>58</v>
      </c>
      <c r="P198" t="str">
        <f>IF(Table1[[#This Row],[Unit price]]&gt;2000,"High Price","Standard Price")</f>
        <v>Standard Price</v>
      </c>
    </row>
    <row r="199" spans="1:16" x14ac:dyDescent="0.3">
      <c r="A199" s="3">
        <v>10198</v>
      </c>
      <c r="B199" s="1">
        <v>45705</v>
      </c>
      <c r="C199" s="3" t="s">
        <v>157</v>
      </c>
      <c r="D199" s="3" t="s">
        <v>19</v>
      </c>
      <c r="E199" t="s">
        <v>8</v>
      </c>
      <c r="F199" t="s">
        <v>52</v>
      </c>
      <c r="G199" t="str">
        <f>IF(ISBLANK(Table1[[#This Row],[State]]),"Unknown",Table1[[#This Row],[State]])</f>
        <v>Karnataka</v>
      </c>
      <c r="H199" t="s">
        <v>2</v>
      </c>
      <c r="I199" t="s">
        <v>24</v>
      </c>
      <c r="J199" t="str">
        <f>IF(ISBLANK(Table1[[#This Row],[Product]]),"Unknown",Table1[[#This Row],[Product]])</f>
        <v>Jeans</v>
      </c>
      <c r="K199" s="3">
        <v>1</v>
      </c>
      <c r="L199" s="10">
        <v>1999</v>
      </c>
      <c r="M199" t="s">
        <v>4</v>
      </c>
      <c r="N199" t="str">
        <f>IF(ISBLANK(Table1[[#This Row],[Payment method]]),"Unknown",Table1[[#This Row],[Payment method]])</f>
        <v>Net Banking</v>
      </c>
      <c r="O199" t="s">
        <v>5</v>
      </c>
      <c r="P199" t="str">
        <f>IF(Table1[[#This Row],[Unit price]]&gt;2000,"High Price","Standard Price")</f>
        <v>Standard Price</v>
      </c>
    </row>
    <row r="200" spans="1:16" x14ac:dyDescent="0.3">
      <c r="A200" s="3">
        <v>10199</v>
      </c>
      <c r="B200" s="1">
        <v>45732</v>
      </c>
      <c r="C200" s="3" t="s">
        <v>142</v>
      </c>
      <c r="D200" s="3" t="s">
        <v>23</v>
      </c>
      <c r="E200" t="s">
        <v>248</v>
      </c>
      <c r="F200" t="s">
        <v>52</v>
      </c>
      <c r="G200" t="str">
        <f>IF(ISBLANK(Table1[[#This Row],[State]]),"Unknown",Table1[[#This Row],[State]])</f>
        <v>Karnataka</v>
      </c>
      <c r="H200" t="s">
        <v>9</v>
      </c>
      <c r="I200" t="s">
        <v>16</v>
      </c>
      <c r="J200" t="str">
        <f>IF(ISBLANK(Table1[[#This Row],[Product]]),"Unknown",Table1[[#This Row],[Product]])</f>
        <v>Lamp</v>
      </c>
      <c r="K200" s="3">
        <v>3</v>
      </c>
      <c r="L200" s="10">
        <v>799</v>
      </c>
      <c r="M200" t="s">
        <v>11</v>
      </c>
      <c r="N200" t="str">
        <f>IF(ISBLANK(Table1[[#This Row],[Payment method]]),"Unknown",Table1[[#This Row],[Payment method]])</f>
        <v>Cash on Delivery</v>
      </c>
      <c r="O200" t="s">
        <v>5</v>
      </c>
      <c r="P200" t="str">
        <f>IF(Table1[[#This Row],[Unit price]]&gt;2000,"High Price","Standard Price")</f>
        <v>Standard Price</v>
      </c>
    </row>
    <row r="201" spans="1:16" x14ac:dyDescent="0.3">
      <c r="A201" s="3">
        <v>10200</v>
      </c>
      <c r="B201" s="1">
        <v>45686</v>
      </c>
      <c r="C201" s="3" t="s">
        <v>55</v>
      </c>
      <c r="D201" s="3" t="s">
        <v>19</v>
      </c>
      <c r="E201" t="s">
        <v>45</v>
      </c>
      <c r="F201" t="s">
        <v>54</v>
      </c>
      <c r="G201" t="str">
        <f>IF(ISBLANK(Table1[[#This Row],[State]]),"Unknown",Table1[[#This Row],[State]])</f>
        <v>Uttar Pradesh</v>
      </c>
      <c r="H201" t="s">
        <v>33</v>
      </c>
      <c r="I201" t="s">
        <v>37</v>
      </c>
      <c r="J201" t="str">
        <f>IF(ISBLANK(Table1[[#This Row],[Product]]),"Unknown",Table1[[#This Row],[Product]])</f>
        <v>Mouse</v>
      </c>
      <c r="K201" s="3">
        <v>2</v>
      </c>
      <c r="L201" s="10">
        <v>999999</v>
      </c>
      <c r="M201" t="s">
        <v>4</v>
      </c>
      <c r="N201" t="str">
        <f>IF(ISBLANK(Table1[[#This Row],[Payment method]]),"Unknown",Table1[[#This Row],[Payment method]])</f>
        <v>Net Banking</v>
      </c>
      <c r="O201" t="s">
        <v>12</v>
      </c>
      <c r="P201" t="str">
        <f>IF(Table1[[#This Row],[Unit price]]&gt;2000,"High Price","Standard Price")</f>
        <v>High Price</v>
      </c>
    </row>
    <row r="202" spans="1:16" x14ac:dyDescent="0.3">
      <c r="A202" s="3">
        <v>10201</v>
      </c>
      <c r="B202" s="1">
        <v>45783</v>
      </c>
      <c r="C202" s="3" t="s">
        <v>113</v>
      </c>
      <c r="D202" s="3" t="s">
        <v>43</v>
      </c>
      <c r="E202" t="s">
        <v>20</v>
      </c>
      <c r="F202" t="s">
        <v>20</v>
      </c>
      <c r="G202" t="str">
        <f>IF(ISBLANK(Table1[[#This Row],[State]]),"Unknown",Table1[[#This Row],[State]])</f>
        <v>Delhi</v>
      </c>
      <c r="H202" t="s">
        <v>9</v>
      </c>
      <c r="I202" t="s">
        <v>16</v>
      </c>
      <c r="J202" t="str">
        <f>IF(ISBLANK(Table1[[#This Row],[Product]]),"Unknown",Table1[[#This Row],[Product]])</f>
        <v>Lamp</v>
      </c>
      <c r="K202" s="3">
        <v>1</v>
      </c>
      <c r="L202" s="10">
        <v>1299</v>
      </c>
      <c r="M202" t="s">
        <v>26</v>
      </c>
      <c r="N202" t="str">
        <f>IF(ISBLANK(Table1[[#This Row],[Payment method]]),"Unknown",Table1[[#This Row],[Payment method]])</f>
        <v>Card</v>
      </c>
      <c r="O202" t="s">
        <v>17</v>
      </c>
      <c r="P202" t="str">
        <f>IF(Table1[[#This Row],[Unit price]]&gt;2000,"High Price","Standard Price")</f>
        <v>Standard Price</v>
      </c>
    </row>
    <row r="203" spans="1:16" x14ac:dyDescent="0.3">
      <c r="A203" s="3">
        <v>10202</v>
      </c>
      <c r="B203" s="1">
        <v>45751</v>
      </c>
      <c r="C203" s="3" t="s">
        <v>158</v>
      </c>
      <c r="D203" s="3" t="s">
        <v>57</v>
      </c>
      <c r="E203" t="s">
        <v>20</v>
      </c>
      <c r="F203" t="s">
        <v>20</v>
      </c>
      <c r="G203" t="str">
        <f>IF(ISBLANK(Table1[[#This Row],[State]]),"Unknown",Table1[[#This Row],[State]])</f>
        <v>Delhi</v>
      </c>
      <c r="H203" t="s">
        <v>2</v>
      </c>
      <c r="I203" t="s">
        <v>3</v>
      </c>
      <c r="J203" t="str">
        <f>IF(ISBLANK(Table1[[#This Row],[Product]]),"Unknown",Table1[[#This Row],[Product]])</f>
        <v>T-Shirt</v>
      </c>
      <c r="K203" s="3">
        <v>5</v>
      </c>
      <c r="L203" s="10">
        <v>799</v>
      </c>
      <c r="N203" t="str">
        <f>IF(ISBLANK(Table1[[#This Row],[Payment method]]),"Unknown",Table1[[#This Row],[Payment method]])</f>
        <v>Unknown</v>
      </c>
      <c r="O203" t="s">
        <v>17</v>
      </c>
      <c r="P203" t="str">
        <f>IF(Table1[[#This Row],[Unit price]]&gt;2000,"High Price","Standard Price")</f>
        <v>Standard Price</v>
      </c>
    </row>
    <row r="204" spans="1:16" x14ac:dyDescent="0.3">
      <c r="A204" s="3">
        <v>10203</v>
      </c>
      <c r="B204" s="1">
        <v>45815</v>
      </c>
      <c r="C204" s="3" t="s">
        <v>159</v>
      </c>
      <c r="D204" s="3" t="s">
        <v>39</v>
      </c>
      <c r="E204" t="s">
        <v>45</v>
      </c>
      <c r="F204" t="s">
        <v>54</v>
      </c>
      <c r="G204" t="str">
        <f>IF(ISBLANK(Table1[[#This Row],[State]]),"Unknown",Table1[[#This Row],[State]])</f>
        <v>Uttar Pradesh</v>
      </c>
      <c r="H204" t="s">
        <v>2</v>
      </c>
      <c r="I204" t="s">
        <v>24</v>
      </c>
      <c r="J204" t="str">
        <f>IF(ISBLANK(Table1[[#This Row],[Product]]),"Unknown",Table1[[#This Row],[Product]])</f>
        <v>Jeans</v>
      </c>
      <c r="K204" s="3">
        <v>5</v>
      </c>
      <c r="L204" s="10">
        <v>1299</v>
      </c>
      <c r="M204" t="s">
        <v>4</v>
      </c>
      <c r="N204" t="str">
        <f>IF(ISBLANK(Table1[[#This Row],[Payment method]]),"Unknown",Table1[[#This Row],[Payment method]])</f>
        <v>Net Banking</v>
      </c>
      <c r="O204" t="s">
        <v>12</v>
      </c>
      <c r="P204" t="str">
        <f>IF(Table1[[#This Row],[Unit price]]&gt;2000,"High Price","Standard Price")</f>
        <v>Standard Price</v>
      </c>
    </row>
    <row r="205" spans="1:16" x14ac:dyDescent="0.3">
      <c r="A205" s="3">
        <v>10204</v>
      </c>
      <c r="B205" s="1">
        <v>45796</v>
      </c>
      <c r="C205" s="3" t="s">
        <v>110</v>
      </c>
      <c r="D205" s="3" t="s">
        <v>23</v>
      </c>
      <c r="E205" t="s">
        <v>247</v>
      </c>
      <c r="F205" t="s">
        <v>36</v>
      </c>
      <c r="G205" t="str">
        <f>IF(ISBLANK(Table1[[#This Row],[State]]),"Unknown",Table1[[#This Row],[State]])</f>
        <v>Maharastra</v>
      </c>
      <c r="H205" t="s">
        <v>33</v>
      </c>
      <c r="I205" t="s">
        <v>21</v>
      </c>
      <c r="J205" t="str">
        <f>IF(ISBLANK(Table1[[#This Row],[Product]]),"Unknown",Table1[[#This Row],[Product]])</f>
        <v>Headphones</v>
      </c>
      <c r="K205" s="3">
        <v>3</v>
      </c>
      <c r="L205" s="10">
        <v>1999</v>
      </c>
      <c r="N205" t="str">
        <f>IF(ISBLANK(Table1[[#This Row],[Payment method]]),"Unknown",Table1[[#This Row],[Payment method]])</f>
        <v>Unknown</v>
      </c>
      <c r="O205" t="s">
        <v>12</v>
      </c>
      <c r="P205" t="str">
        <f>IF(Table1[[#This Row],[Unit price]]&gt;2000,"High Price","Standard Price")</f>
        <v>Standard Price</v>
      </c>
    </row>
    <row r="206" spans="1:16" x14ac:dyDescent="0.3">
      <c r="A206" s="3">
        <v>10205</v>
      </c>
      <c r="B206" s="1">
        <v>45779</v>
      </c>
      <c r="C206" s="3" t="s">
        <v>110</v>
      </c>
      <c r="D206" s="3" t="s">
        <v>57</v>
      </c>
      <c r="E206" t="s">
        <v>32</v>
      </c>
      <c r="F206" t="s">
        <v>15</v>
      </c>
      <c r="G206" t="str">
        <f>IF(ISBLANK(Table1[[#This Row],[State]]),"Unknown",Table1[[#This Row],[State]])</f>
        <v>Maharashtra</v>
      </c>
      <c r="H206" t="s">
        <v>2</v>
      </c>
      <c r="I206" t="s">
        <v>3</v>
      </c>
      <c r="J206" t="str">
        <f>IF(ISBLANK(Table1[[#This Row],[Product]]),"Unknown",Table1[[#This Row],[Product]])</f>
        <v>T-Shirt</v>
      </c>
      <c r="K206" s="3">
        <v>2</v>
      </c>
      <c r="L206" s="10">
        <v>799</v>
      </c>
      <c r="M206" t="s">
        <v>26</v>
      </c>
      <c r="N206" t="str">
        <f>IF(ISBLANK(Table1[[#This Row],[Payment method]]),"Unknown",Table1[[#This Row],[Payment method]])</f>
        <v>Card</v>
      </c>
      <c r="O206" t="s">
        <v>17</v>
      </c>
      <c r="P206" t="str">
        <f>IF(Table1[[#This Row],[Unit price]]&gt;2000,"High Price","Standard Price")</f>
        <v>Standard Price</v>
      </c>
    </row>
    <row r="207" spans="1:16" x14ac:dyDescent="0.3">
      <c r="A207" s="3">
        <v>10206</v>
      </c>
      <c r="B207" s="1">
        <v>45780</v>
      </c>
      <c r="C207" s="3" t="s">
        <v>94</v>
      </c>
      <c r="D207" s="3" t="s">
        <v>23</v>
      </c>
      <c r="E207" t="s">
        <v>8</v>
      </c>
      <c r="G207" t="str">
        <f>IF(ISBLANK(Table1[[#This Row],[State]]),"Unknown",Table1[[#This Row],[State]])</f>
        <v>Unknown</v>
      </c>
      <c r="H207" t="s">
        <v>2</v>
      </c>
      <c r="I207" t="s">
        <v>3</v>
      </c>
      <c r="J207" t="str">
        <f>IF(ISBLANK(Table1[[#This Row],[Product]]),"Unknown",Table1[[#This Row],[Product]])</f>
        <v>T-Shirt</v>
      </c>
      <c r="K207" s="3">
        <v>4</v>
      </c>
      <c r="L207" s="10">
        <v>1299</v>
      </c>
      <c r="M207" t="s">
        <v>26</v>
      </c>
      <c r="N207" t="str">
        <f>IF(ISBLANK(Table1[[#This Row],[Payment method]]),"Unknown",Table1[[#This Row],[Payment method]])</f>
        <v>Card</v>
      </c>
      <c r="O207" t="s">
        <v>12</v>
      </c>
      <c r="P207" t="str">
        <f>IF(Table1[[#This Row],[Unit price]]&gt;2000,"High Price","Standard Price")</f>
        <v>Standard Price</v>
      </c>
    </row>
    <row r="208" spans="1:16" x14ac:dyDescent="0.3">
      <c r="A208" s="3">
        <v>10207</v>
      </c>
      <c r="B208" s="1">
        <v>45811</v>
      </c>
      <c r="C208" s="3" t="s">
        <v>160</v>
      </c>
      <c r="D208" s="3" t="s">
        <v>23</v>
      </c>
      <c r="E208" t="s">
        <v>32</v>
      </c>
      <c r="F208" t="s">
        <v>15</v>
      </c>
      <c r="G208" t="str">
        <f>IF(ISBLANK(Table1[[#This Row],[State]]),"Unknown",Table1[[#This Row],[State]])</f>
        <v>Maharashtra</v>
      </c>
      <c r="H208" t="s">
        <v>33</v>
      </c>
      <c r="I208" t="s">
        <v>21</v>
      </c>
      <c r="J208" t="str">
        <f>IF(ISBLANK(Table1[[#This Row],[Product]]),"Unknown",Table1[[#This Row],[Product]])</f>
        <v>Headphones</v>
      </c>
      <c r="K208" s="3">
        <v>3</v>
      </c>
      <c r="L208" s="10">
        <v>1999</v>
      </c>
      <c r="M208" t="s">
        <v>4</v>
      </c>
      <c r="N208" t="str">
        <f>IF(ISBLANK(Table1[[#This Row],[Payment method]]),"Unknown",Table1[[#This Row],[Payment method]])</f>
        <v>Net Banking</v>
      </c>
      <c r="O208" t="s">
        <v>12</v>
      </c>
      <c r="P208" t="str">
        <f>IF(Table1[[#This Row],[Unit price]]&gt;2000,"High Price","Standard Price")</f>
        <v>Standard Price</v>
      </c>
    </row>
    <row r="209" spans="1:16" x14ac:dyDescent="0.3">
      <c r="A209" s="3">
        <v>10208</v>
      </c>
      <c r="B209" s="1">
        <v>45686</v>
      </c>
      <c r="C209" s="3" t="s">
        <v>161</v>
      </c>
      <c r="D209" s="3" t="s">
        <v>39</v>
      </c>
      <c r="E209" t="s">
        <v>249</v>
      </c>
      <c r="F209" t="s">
        <v>15</v>
      </c>
      <c r="G209" t="str">
        <f>IF(ISBLANK(Table1[[#This Row],[State]]),"Unknown",Table1[[#This Row],[State]])</f>
        <v>Maharashtra</v>
      </c>
      <c r="H209" t="s">
        <v>9</v>
      </c>
      <c r="I209" t="s">
        <v>10</v>
      </c>
      <c r="J209" t="str">
        <f>IF(ISBLANK(Table1[[#This Row],[Product]]),"Unknown",Table1[[#This Row],[Product]])</f>
        <v>Chair</v>
      </c>
      <c r="K209" s="3">
        <v>1</v>
      </c>
      <c r="L209" s="10">
        <v>1999</v>
      </c>
      <c r="M209" t="s">
        <v>4</v>
      </c>
      <c r="N209" t="str">
        <f>IF(ISBLANK(Table1[[#This Row],[Payment method]]),"Unknown",Table1[[#This Row],[Payment method]])</f>
        <v>Net Banking</v>
      </c>
      <c r="O209" t="s">
        <v>5</v>
      </c>
      <c r="P209" t="str">
        <f>IF(Table1[[#This Row],[Unit price]]&gt;2000,"High Price","Standard Price")</f>
        <v>Standard Price</v>
      </c>
    </row>
    <row r="210" spans="1:16" x14ac:dyDescent="0.3">
      <c r="A210" s="3">
        <v>10209</v>
      </c>
      <c r="B210" s="1">
        <v>45678</v>
      </c>
      <c r="C210" s="3" t="s">
        <v>90</v>
      </c>
      <c r="D210" s="3" t="s">
        <v>1</v>
      </c>
      <c r="E210" t="s">
        <v>248</v>
      </c>
      <c r="F210" t="s">
        <v>52</v>
      </c>
      <c r="G210" t="str">
        <f>IF(ISBLANK(Table1[[#This Row],[State]]),"Unknown",Table1[[#This Row],[State]])</f>
        <v>Karnataka</v>
      </c>
      <c r="H210" t="s">
        <v>2</v>
      </c>
      <c r="I210" t="s">
        <v>3</v>
      </c>
      <c r="J210" t="str">
        <f>IF(ISBLANK(Table1[[#This Row],[Product]]),"Unknown",Table1[[#This Row],[Product]])</f>
        <v>T-Shirt</v>
      </c>
      <c r="K210" s="3">
        <v>5</v>
      </c>
      <c r="L210" s="10">
        <v>299</v>
      </c>
      <c r="N210" t="str">
        <f>IF(ISBLANK(Table1[[#This Row],[Payment method]]),"Unknown",Table1[[#This Row],[Payment method]])</f>
        <v>Unknown</v>
      </c>
      <c r="O210" t="s">
        <v>17</v>
      </c>
      <c r="P210" t="str">
        <f>IF(Table1[[#This Row],[Unit price]]&gt;2000,"High Price","Standard Price")</f>
        <v>Standard Price</v>
      </c>
    </row>
    <row r="211" spans="1:16" x14ac:dyDescent="0.3">
      <c r="A211" s="3">
        <v>10210</v>
      </c>
      <c r="B211" s="1">
        <v>45729</v>
      </c>
      <c r="C211" s="3" t="s">
        <v>87</v>
      </c>
      <c r="D211" s="3" t="s">
        <v>57</v>
      </c>
      <c r="E211" t="s">
        <v>247</v>
      </c>
      <c r="F211" t="s">
        <v>15</v>
      </c>
      <c r="G211" t="str">
        <f>IF(ISBLANK(Table1[[#This Row],[State]]),"Unknown",Table1[[#This Row],[State]])</f>
        <v>Maharashtra</v>
      </c>
      <c r="H211" t="s">
        <v>33</v>
      </c>
      <c r="I211" t="s">
        <v>37</v>
      </c>
      <c r="J211" t="str">
        <f>IF(ISBLANK(Table1[[#This Row],[Product]]),"Unknown",Table1[[#This Row],[Product]])</f>
        <v>Mouse</v>
      </c>
      <c r="K211" s="3">
        <v>2</v>
      </c>
      <c r="L211" s="10">
        <v>499</v>
      </c>
      <c r="N211" t="str">
        <f>IF(ISBLANK(Table1[[#This Row],[Payment method]]),"Unknown",Table1[[#This Row],[Payment method]])</f>
        <v>Unknown</v>
      </c>
      <c r="O211" t="s">
        <v>5</v>
      </c>
      <c r="P211" t="str">
        <f>IF(Table1[[#This Row],[Unit price]]&gt;2000,"High Price","Standard Price")</f>
        <v>Standard Price</v>
      </c>
    </row>
    <row r="212" spans="1:16" x14ac:dyDescent="0.3">
      <c r="A212" s="3">
        <v>10211</v>
      </c>
      <c r="B212" s="1">
        <v>45780</v>
      </c>
      <c r="C212" s="3" t="s">
        <v>85</v>
      </c>
      <c r="D212" s="3" t="s">
        <v>39</v>
      </c>
      <c r="E212" t="s">
        <v>32</v>
      </c>
      <c r="F212" t="s">
        <v>15</v>
      </c>
      <c r="G212" t="str">
        <f>IF(ISBLANK(Table1[[#This Row],[State]]),"Unknown",Table1[[#This Row],[State]])</f>
        <v>Maharashtra</v>
      </c>
      <c r="H212" t="s">
        <v>9</v>
      </c>
      <c r="I212" t="s">
        <v>10</v>
      </c>
      <c r="J212" t="str">
        <f>IF(ISBLANK(Table1[[#This Row],[Product]]),"Unknown",Table1[[#This Row],[Product]])</f>
        <v>Chair</v>
      </c>
      <c r="K212" s="3">
        <v>2</v>
      </c>
      <c r="L212" s="10">
        <v>799</v>
      </c>
      <c r="N212" t="str">
        <f>IF(ISBLANK(Table1[[#This Row],[Payment method]]),"Unknown",Table1[[#This Row],[Payment method]])</f>
        <v>Unknown</v>
      </c>
      <c r="O212" t="s">
        <v>58</v>
      </c>
      <c r="P212" t="str">
        <f>IF(Table1[[#This Row],[Unit price]]&gt;2000,"High Price","Standard Price")</f>
        <v>Standard Price</v>
      </c>
    </row>
    <row r="213" spans="1:16" x14ac:dyDescent="0.3">
      <c r="A213" s="3">
        <v>10212</v>
      </c>
      <c r="B213" s="1">
        <v>45683</v>
      </c>
      <c r="C213" s="3" t="s">
        <v>162</v>
      </c>
      <c r="D213" s="3" t="s">
        <v>19</v>
      </c>
      <c r="E213" t="s">
        <v>20</v>
      </c>
      <c r="F213" t="s">
        <v>20</v>
      </c>
      <c r="G213" t="str">
        <f>IF(ISBLANK(Table1[[#This Row],[State]]),"Unknown",Table1[[#This Row],[State]])</f>
        <v>Delhi</v>
      </c>
      <c r="H213" t="s">
        <v>9</v>
      </c>
      <c r="J213" t="str">
        <f>IF(ISBLANK(Table1[[#This Row],[Product]]),"Unknown",Table1[[#This Row],[Product]])</f>
        <v>Unknown</v>
      </c>
      <c r="K213" s="3">
        <v>2</v>
      </c>
      <c r="L213" s="10">
        <v>-100</v>
      </c>
      <c r="M213" t="s">
        <v>4</v>
      </c>
      <c r="N213" t="str">
        <f>IF(ISBLANK(Table1[[#This Row],[Payment method]]),"Unknown",Table1[[#This Row],[Payment method]])</f>
        <v>Net Banking</v>
      </c>
      <c r="O213" t="s">
        <v>12</v>
      </c>
      <c r="P213" t="str">
        <f>IF(Table1[[#This Row],[Unit price]]&gt;2000,"High Price","Standard Price")</f>
        <v>Standard Price</v>
      </c>
    </row>
    <row r="214" spans="1:16" x14ac:dyDescent="0.3">
      <c r="A214" s="3">
        <v>10213</v>
      </c>
      <c r="B214" s="1">
        <v>45712</v>
      </c>
      <c r="C214" s="3" t="s">
        <v>163</v>
      </c>
      <c r="D214" s="3" t="s">
        <v>23</v>
      </c>
      <c r="E214" t="s">
        <v>35</v>
      </c>
      <c r="F214" t="s">
        <v>36</v>
      </c>
      <c r="G214" t="str">
        <f>IF(ISBLANK(Table1[[#This Row],[State]]),"Unknown",Table1[[#This Row],[State]])</f>
        <v>Maharastra</v>
      </c>
      <c r="H214" t="s">
        <v>2</v>
      </c>
      <c r="I214" t="s">
        <v>3</v>
      </c>
      <c r="J214" t="str">
        <f>IF(ISBLANK(Table1[[#This Row],[Product]]),"Unknown",Table1[[#This Row],[Product]])</f>
        <v>T-Shirt</v>
      </c>
      <c r="K214" s="3">
        <v>4</v>
      </c>
      <c r="L214" s="10">
        <v>799</v>
      </c>
      <c r="M214" t="s">
        <v>4</v>
      </c>
      <c r="N214" t="str">
        <f>IF(ISBLANK(Table1[[#This Row],[Payment method]]),"Unknown",Table1[[#This Row],[Payment method]])</f>
        <v>Net Banking</v>
      </c>
      <c r="O214" t="s">
        <v>12</v>
      </c>
      <c r="P214" t="str">
        <f>IF(Table1[[#This Row],[Unit price]]&gt;2000,"High Price","Standard Price")</f>
        <v>Standard Price</v>
      </c>
    </row>
    <row r="215" spans="1:16" x14ac:dyDescent="0.3">
      <c r="A215" s="3">
        <v>10214</v>
      </c>
      <c r="B215" s="1">
        <v>45772</v>
      </c>
      <c r="C215" s="3" t="s">
        <v>164</v>
      </c>
      <c r="D215" s="3" t="s">
        <v>7</v>
      </c>
      <c r="E215" t="s">
        <v>35</v>
      </c>
      <c r="F215" t="s">
        <v>15</v>
      </c>
      <c r="G215" t="str">
        <f>IF(ISBLANK(Table1[[#This Row],[State]]),"Unknown",Table1[[#This Row],[State]])</f>
        <v>Maharashtra</v>
      </c>
      <c r="H215" t="s">
        <v>33</v>
      </c>
      <c r="I215" t="s">
        <v>21</v>
      </c>
      <c r="J215" t="str">
        <f>IF(ISBLANK(Table1[[#This Row],[Product]]),"Unknown",Table1[[#This Row],[Product]])</f>
        <v>Headphones</v>
      </c>
      <c r="K215" s="3">
        <v>2</v>
      </c>
      <c r="L215" s="10">
        <v>299</v>
      </c>
      <c r="N215" t="str">
        <f>IF(ISBLANK(Table1[[#This Row],[Payment method]]),"Unknown",Table1[[#This Row],[Payment method]])</f>
        <v>Unknown</v>
      </c>
      <c r="O215" t="s">
        <v>5</v>
      </c>
      <c r="P215" t="str">
        <f>IF(Table1[[#This Row],[Unit price]]&gt;2000,"High Price","Standard Price")</f>
        <v>Standard Price</v>
      </c>
    </row>
    <row r="216" spans="1:16" x14ac:dyDescent="0.3">
      <c r="A216" s="3">
        <v>10215</v>
      </c>
      <c r="B216" s="1">
        <v>45829</v>
      </c>
      <c r="C216" s="3" t="s">
        <v>165</v>
      </c>
      <c r="D216" s="3" t="s">
        <v>39</v>
      </c>
      <c r="E216" t="s">
        <v>35</v>
      </c>
      <c r="F216" t="s">
        <v>15</v>
      </c>
      <c r="G216" t="str">
        <f>IF(ISBLANK(Table1[[#This Row],[State]]),"Unknown",Table1[[#This Row],[State]])</f>
        <v>Maharashtra</v>
      </c>
      <c r="H216" t="s">
        <v>9</v>
      </c>
      <c r="I216" t="s">
        <v>10</v>
      </c>
      <c r="J216" t="str">
        <f>IF(ISBLANK(Table1[[#This Row],[Product]]),"Unknown",Table1[[#This Row],[Product]])</f>
        <v>Chair</v>
      </c>
      <c r="K216" s="3">
        <v>4</v>
      </c>
      <c r="L216" s="10">
        <v>1999</v>
      </c>
      <c r="N216" t="str">
        <f>IF(ISBLANK(Table1[[#This Row],[Payment method]]),"Unknown",Table1[[#This Row],[Payment method]])</f>
        <v>Unknown</v>
      </c>
      <c r="O216" t="s">
        <v>17</v>
      </c>
      <c r="P216" t="str">
        <f>IF(Table1[[#This Row],[Unit price]]&gt;2000,"High Price","Standard Price")</f>
        <v>Standard Price</v>
      </c>
    </row>
    <row r="217" spans="1:16" x14ac:dyDescent="0.3">
      <c r="A217" s="3">
        <v>10216</v>
      </c>
      <c r="B217" s="1">
        <v>45698</v>
      </c>
      <c r="C217" s="3" t="s">
        <v>166</v>
      </c>
      <c r="D217" s="3" t="s">
        <v>43</v>
      </c>
      <c r="E217" t="s">
        <v>35</v>
      </c>
      <c r="F217" t="s">
        <v>15</v>
      </c>
      <c r="G217" t="str">
        <f>IF(ISBLANK(Table1[[#This Row],[State]]),"Unknown",Table1[[#This Row],[State]])</f>
        <v>Maharashtra</v>
      </c>
      <c r="H217" t="s">
        <v>2</v>
      </c>
      <c r="I217" t="s">
        <v>24</v>
      </c>
      <c r="J217" t="str">
        <f>IF(ISBLANK(Table1[[#This Row],[Product]]),"Unknown",Table1[[#This Row],[Product]])</f>
        <v>Jeans</v>
      </c>
      <c r="K217" s="3">
        <v>1</v>
      </c>
      <c r="L217" s="10">
        <v>499</v>
      </c>
      <c r="M217" t="s">
        <v>4</v>
      </c>
      <c r="N217" t="str">
        <f>IF(ISBLANK(Table1[[#This Row],[Payment method]]),"Unknown",Table1[[#This Row],[Payment method]])</f>
        <v>Net Banking</v>
      </c>
      <c r="O217" t="s">
        <v>58</v>
      </c>
      <c r="P217" t="str">
        <f>IF(Table1[[#This Row],[Unit price]]&gt;2000,"High Price","Standard Price")</f>
        <v>Standard Price</v>
      </c>
    </row>
    <row r="218" spans="1:16" x14ac:dyDescent="0.3">
      <c r="A218" s="3">
        <v>10217</v>
      </c>
      <c r="B218" s="1">
        <v>45769</v>
      </c>
      <c r="C218" s="3" t="s">
        <v>46</v>
      </c>
      <c r="D218" s="3" t="s">
        <v>7</v>
      </c>
      <c r="E218" t="s">
        <v>8</v>
      </c>
      <c r="F218" t="s">
        <v>52</v>
      </c>
      <c r="G218" t="str">
        <f>IF(ISBLANK(Table1[[#This Row],[State]]),"Unknown",Table1[[#This Row],[State]])</f>
        <v>Karnataka</v>
      </c>
      <c r="H218" t="s">
        <v>9</v>
      </c>
      <c r="I218" t="s">
        <v>10</v>
      </c>
      <c r="J218" t="str">
        <f>IF(ISBLANK(Table1[[#This Row],[Product]]),"Unknown",Table1[[#This Row],[Product]])</f>
        <v>Chair</v>
      </c>
      <c r="K218" s="3">
        <v>2</v>
      </c>
      <c r="L218" s="10">
        <v>1999</v>
      </c>
      <c r="N218" t="str">
        <f>IF(ISBLANK(Table1[[#This Row],[Payment method]]),"Unknown",Table1[[#This Row],[Payment method]])</f>
        <v>Unknown</v>
      </c>
      <c r="O218" t="s">
        <v>12</v>
      </c>
      <c r="P218" t="str">
        <f>IF(Table1[[#This Row],[Unit price]]&gt;2000,"High Price","Standard Price")</f>
        <v>Standard Price</v>
      </c>
    </row>
    <row r="219" spans="1:16" x14ac:dyDescent="0.3">
      <c r="A219" s="3">
        <v>10218</v>
      </c>
      <c r="B219" s="1">
        <v>45784</v>
      </c>
      <c r="C219" s="3" t="s">
        <v>167</v>
      </c>
      <c r="D219" s="3" t="s">
        <v>43</v>
      </c>
      <c r="E219" t="s">
        <v>8</v>
      </c>
      <c r="F219" t="s">
        <v>52</v>
      </c>
      <c r="G219" t="str">
        <f>IF(ISBLANK(Table1[[#This Row],[State]]),"Unknown",Table1[[#This Row],[State]])</f>
        <v>Karnataka</v>
      </c>
      <c r="H219" t="s">
        <v>2</v>
      </c>
      <c r="I219" t="s">
        <v>24</v>
      </c>
      <c r="J219" t="str">
        <f>IF(ISBLANK(Table1[[#This Row],[Product]]),"Unknown",Table1[[#This Row],[Product]])</f>
        <v>Jeans</v>
      </c>
      <c r="K219" s="3">
        <v>2</v>
      </c>
      <c r="L219" s="10">
        <v>799</v>
      </c>
      <c r="M219" t="s">
        <v>4</v>
      </c>
      <c r="N219" t="str">
        <f>IF(ISBLANK(Table1[[#This Row],[Payment method]]),"Unknown",Table1[[#This Row],[Payment method]])</f>
        <v>Net Banking</v>
      </c>
      <c r="O219" t="s">
        <v>17</v>
      </c>
      <c r="P219" t="str">
        <f>IF(Table1[[#This Row],[Unit price]]&gt;2000,"High Price","Standard Price")</f>
        <v>Standard Price</v>
      </c>
    </row>
    <row r="220" spans="1:16" x14ac:dyDescent="0.3">
      <c r="A220" s="3">
        <v>10219</v>
      </c>
      <c r="B220" s="1">
        <v>45659</v>
      </c>
      <c r="C220" s="3" t="s">
        <v>46</v>
      </c>
      <c r="D220" s="3" t="s">
        <v>57</v>
      </c>
      <c r="E220" t="s">
        <v>32</v>
      </c>
      <c r="F220" t="s">
        <v>15</v>
      </c>
      <c r="G220" t="str">
        <f>IF(ISBLANK(Table1[[#This Row],[State]]),"Unknown",Table1[[#This Row],[State]])</f>
        <v>Maharashtra</v>
      </c>
      <c r="H220" t="s">
        <v>33</v>
      </c>
      <c r="I220" t="s">
        <v>37</v>
      </c>
      <c r="J220" t="str">
        <f>IF(ISBLANK(Table1[[#This Row],[Product]]),"Unknown",Table1[[#This Row],[Product]])</f>
        <v>Mouse</v>
      </c>
      <c r="K220" s="3">
        <v>4</v>
      </c>
      <c r="L220" s="10">
        <v>499</v>
      </c>
      <c r="N220" t="str">
        <f>IF(ISBLANK(Table1[[#This Row],[Payment method]]),"Unknown",Table1[[#This Row],[Payment method]])</f>
        <v>Unknown</v>
      </c>
      <c r="O220" t="s">
        <v>5</v>
      </c>
      <c r="P220" t="str">
        <f>IF(Table1[[#This Row],[Unit price]]&gt;2000,"High Price","Standard Price")</f>
        <v>Standard Price</v>
      </c>
    </row>
    <row r="221" spans="1:16" x14ac:dyDescent="0.3">
      <c r="A221" s="3">
        <v>10220</v>
      </c>
      <c r="B221" s="1">
        <v>45734</v>
      </c>
      <c r="C221" s="3" t="s">
        <v>29</v>
      </c>
      <c r="D221" s="3" t="s">
        <v>43</v>
      </c>
      <c r="E221" t="s">
        <v>20</v>
      </c>
      <c r="F221" t="s">
        <v>20</v>
      </c>
      <c r="G221" t="str">
        <f>IF(ISBLANK(Table1[[#This Row],[State]]),"Unknown",Table1[[#This Row],[State]])</f>
        <v>Delhi</v>
      </c>
      <c r="H221" t="s">
        <v>9</v>
      </c>
      <c r="I221" t="s">
        <v>10</v>
      </c>
      <c r="J221" t="str">
        <f>IF(ISBLANK(Table1[[#This Row],[Product]]),"Unknown",Table1[[#This Row],[Product]])</f>
        <v>Chair</v>
      </c>
      <c r="K221" s="3">
        <v>4</v>
      </c>
      <c r="L221" s="10">
        <v>299</v>
      </c>
      <c r="N221" t="str">
        <f>IF(ISBLANK(Table1[[#This Row],[Payment method]]),"Unknown",Table1[[#This Row],[Payment method]])</f>
        <v>Unknown</v>
      </c>
      <c r="O221" t="s">
        <v>5</v>
      </c>
      <c r="P221" t="str">
        <f>IF(Table1[[#This Row],[Unit price]]&gt;2000,"High Price","Standard Price")</f>
        <v>Standard Price</v>
      </c>
    </row>
    <row r="222" spans="1:16" x14ac:dyDescent="0.3">
      <c r="A222" s="3">
        <v>10221</v>
      </c>
      <c r="B222" s="1">
        <v>45807</v>
      </c>
      <c r="C222" s="3" t="s">
        <v>168</v>
      </c>
      <c r="D222" s="3" t="s">
        <v>43</v>
      </c>
      <c r="E222" t="s">
        <v>20</v>
      </c>
      <c r="F222" t="s">
        <v>20</v>
      </c>
      <c r="G222" t="str">
        <f>IF(ISBLANK(Table1[[#This Row],[State]]),"Unknown",Table1[[#This Row],[State]])</f>
        <v>Delhi</v>
      </c>
      <c r="H222" t="s">
        <v>9</v>
      </c>
      <c r="I222" t="s">
        <v>16</v>
      </c>
      <c r="J222" t="str">
        <f>IF(ISBLANK(Table1[[#This Row],[Product]]),"Unknown",Table1[[#This Row],[Product]])</f>
        <v>Lamp</v>
      </c>
      <c r="K222" s="3">
        <v>4</v>
      </c>
      <c r="L222" s="10">
        <v>299</v>
      </c>
      <c r="M222" t="s">
        <v>4</v>
      </c>
      <c r="N222" t="str">
        <f>IF(ISBLANK(Table1[[#This Row],[Payment method]]),"Unknown",Table1[[#This Row],[Payment method]])</f>
        <v>Net Banking</v>
      </c>
      <c r="O222" t="s">
        <v>17</v>
      </c>
      <c r="P222" t="str">
        <f>IF(Table1[[#This Row],[Unit price]]&gt;2000,"High Price","Standard Price")</f>
        <v>Standard Price</v>
      </c>
    </row>
    <row r="223" spans="1:16" x14ac:dyDescent="0.3">
      <c r="A223" s="3">
        <v>10222</v>
      </c>
      <c r="B223" s="1">
        <v>45744</v>
      </c>
      <c r="C223" s="3" t="s">
        <v>82</v>
      </c>
      <c r="D223" s="3" t="s">
        <v>19</v>
      </c>
      <c r="E223" t="s">
        <v>45</v>
      </c>
      <c r="F223" t="s">
        <v>54</v>
      </c>
      <c r="G223" t="str">
        <f>IF(ISBLANK(Table1[[#This Row],[State]]),"Unknown",Table1[[#This Row],[State]])</f>
        <v>Uttar Pradesh</v>
      </c>
      <c r="H223" t="s">
        <v>33</v>
      </c>
      <c r="I223" t="s">
        <v>49</v>
      </c>
      <c r="J223" t="str">
        <f>IF(ISBLANK(Table1[[#This Row],[Product]]),"Unknown",Table1[[#This Row],[Product]])</f>
        <v>Keyboard</v>
      </c>
      <c r="K223" s="3">
        <v>2</v>
      </c>
      <c r="L223" s="10">
        <v>499</v>
      </c>
      <c r="M223" t="s">
        <v>11</v>
      </c>
      <c r="N223" t="str">
        <f>IF(ISBLANK(Table1[[#This Row],[Payment method]]),"Unknown",Table1[[#This Row],[Payment method]])</f>
        <v>Cash on Delivery</v>
      </c>
      <c r="O223" t="s">
        <v>17</v>
      </c>
      <c r="P223" t="str">
        <f>IF(Table1[[#This Row],[Unit price]]&gt;2000,"High Price","Standard Price")</f>
        <v>Standard Price</v>
      </c>
    </row>
    <row r="224" spans="1:16" x14ac:dyDescent="0.3">
      <c r="A224" s="3">
        <v>10223</v>
      </c>
      <c r="B224" s="1">
        <v>45676</v>
      </c>
      <c r="C224" s="3" t="s">
        <v>169</v>
      </c>
      <c r="D224" s="3" t="s">
        <v>39</v>
      </c>
      <c r="E224" t="s">
        <v>32</v>
      </c>
      <c r="F224" t="s">
        <v>15</v>
      </c>
      <c r="G224" t="str">
        <f>IF(ISBLANK(Table1[[#This Row],[State]]),"Unknown",Table1[[#This Row],[State]])</f>
        <v>Maharashtra</v>
      </c>
      <c r="H224" t="s">
        <v>2</v>
      </c>
      <c r="I224" t="s">
        <v>3</v>
      </c>
      <c r="J224" t="str">
        <f>IF(ISBLANK(Table1[[#This Row],[Product]]),"Unknown",Table1[[#This Row],[Product]])</f>
        <v>T-Shirt</v>
      </c>
      <c r="K224" s="3">
        <v>1</v>
      </c>
      <c r="L224" s="10">
        <v>299</v>
      </c>
      <c r="M224" t="s">
        <v>26</v>
      </c>
      <c r="N224" t="str">
        <f>IF(ISBLANK(Table1[[#This Row],[Payment method]]),"Unknown",Table1[[#This Row],[Payment method]])</f>
        <v>Card</v>
      </c>
      <c r="O224" t="s">
        <v>5</v>
      </c>
      <c r="P224" t="str">
        <f>IF(Table1[[#This Row],[Unit price]]&gt;2000,"High Price","Standard Price")</f>
        <v>Standard Price</v>
      </c>
    </row>
    <row r="225" spans="1:16" x14ac:dyDescent="0.3">
      <c r="A225" s="3">
        <v>10224</v>
      </c>
      <c r="B225" s="1">
        <v>45774</v>
      </c>
      <c r="C225" s="3" t="s">
        <v>170</v>
      </c>
      <c r="D225" s="3" t="s">
        <v>19</v>
      </c>
      <c r="E225" t="s">
        <v>20</v>
      </c>
      <c r="F225" t="s">
        <v>20</v>
      </c>
      <c r="G225" t="str">
        <f>IF(ISBLANK(Table1[[#This Row],[State]]),"Unknown",Table1[[#This Row],[State]])</f>
        <v>Delhi</v>
      </c>
      <c r="H225" t="s">
        <v>2</v>
      </c>
      <c r="I225" t="s">
        <v>24</v>
      </c>
      <c r="J225" t="str">
        <f>IF(ISBLANK(Table1[[#This Row],[Product]]),"Unknown",Table1[[#This Row],[Product]])</f>
        <v>Jeans</v>
      </c>
      <c r="K225" s="3">
        <v>1</v>
      </c>
      <c r="L225" s="10">
        <v>1999</v>
      </c>
      <c r="M225" t="s">
        <v>11</v>
      </c>
      <c r="N225" t="str">
        <f>IF(ISBLANK(Table1[[#This Row],[Payment method]]),"Unknown",Table1[[#This Row],[Payment method]])</f>
        <v>Cash on Delivery</v>
      </c>
      <c r="O225" t="s">
        <v>12</v>
      </c>
      <c r="P225" t="str">
        <f>IF(Table1[[#This Row],[Unit price]]&gt;2000,"High Price","Standard Price")</f>
        <v>Standard Price</v>
      </c>
    </row>
    <row r="226" spans="1:16" x14ac:dyDescent="0.3">
      <c r="A226" s="3">
        <v>10225</v>
      </c>
      <c r="B226" s="1">
        <v>45693</v>
      </c>
      <c r="C226" s="3" t="s">
        <v>78</v>
      </c>
      <c r="D226" s="3" t="s">
        <v>7</v>
      </c>
      <c r="E226" t="s">
        <v>248</v>
      </c>
      <c r="F226" t="s">
        <v>52</v>
      </c>
      <c r="G226" t="str">
        <f>IF(ISBLANK(Table1[[#This Row],[State]]),"Unknown",Table1[[#This Row],[State]])</f>
        <v>Karnataka</v>
      </c>
      <c r="H226" t="s">
        <v>33</v>
      </c>
      <c r="I226" t="s">
        <v>21</v>
      </c>
      <c r="J226" t="str">
        <f>IF(ISBLANK(Table1[[#This Row],[Product]]),"Unknown",Table1[[#This Row],[Product]])</f>
        <v>Headphones</v>
      </c>
      <c r="K226" s="3">
        <v>4</v>
      </c>
      <c r="L226" s="10">
        <v>799</v>
      </c>
      <c r="N226" t="str">
        <f>IF(ISBLANK(Table1[[#This Row],[Payment method]]),"Unknown",Table1[[#This Row],[Payment method]])</f>
        <v>Unknown</v>
      </c>
      <c r="O226" t="s">
        <v>12</v>
      </c>
      <c r="P226" t="str">
        <f>IF(Table1[[#This Row],[Unit price]]&gt;2000,"High Price","Standard Price")</f>
        <v>Standard Price</v>
      </c>
    </row>
    <row r="227" spans="1:16" x14ac:dyDescent="0.3">
      <c r="A227" s="3">
        <v>10226</v>
      </c>
      <c r="B227" s="1">
        <v>45762</v>
      </c>
      <c r="C227" s="3" t="s">
        <v>94</v>
      </c>
      <c r="D227" s="3" t="s">
        <v>14</v>
      </c>
      <c r="E227" t="s">
        <v>20</v>
      </c>
      <c r="G227" t="str">
        <f>IF(ISBLANK(Table1[[#This Row],[State]]),"Unknown",Table1[[#This Row],[State]])</f>
        <v>Unknown</v>
      </c>
      <c r="H227" t="s">
        <v>2</v>
      </c>
      <c r="I227" t="s">
        <v>24</v>
      </c>
      <c r="J227" t="str">
        <f>IF(ISBLANK(Table1[[#This Row],[Product]]),"Unknown",Table1[[#This Row],[Product]])</f>
        <v>Jeans</v>
      </c>
      <c r="K227" s="3">
        <v>1</v>
      </c>
      <c r="L227" s="10">
        <v>499</v>
      </c>
      <c r="M227" t="s">
        <v>11</v>
      </c>
      <c r="N227" t="str">
        <f>IF(ISBLANK(Table1[[#This Row],[Payment method]]),"Unknown",Table1[[#This Row],[Payment method]])</f>
        <v>Cash on Delivery</v>
      </c>
      <c r="O227" t="s">
        <v>58</v>
      </c>
      <c r="P227" t="str">
        <f>IF(Table1[[#This Row],[Unit price]]&gt;2000,"High Price","Standard Price")</f>
        <v>Standard Price</v>
      </c>
    </row>
    <row r="228" spans="1:16" x14ac:dyDescent="0.3">
      <c r="A228" s="3">
        <v>10227</v>
      </c>
      <c r="B228" s="1">
        <v>45767</v>
      </c>
      <c r="C228" s="3" t="s">
        <v>171</v>
      </c>
      <c r="D228" s="3" t="s">
        <v>39</v>
      </c>
      <c r="E228" t="s">
        <v>45</v>
      </c>
      <c r="F228" t="s">
        <v>54</v>
      </c>
      <c r="G228" t="str">
        <f>IF(ISBLANK(Table1[[#This Row],[State]]),"Unknown",Table1[[#This Row],[State]])</f>
        <v>Uttar Pradesh</v>
      </c>
      <c r="H228" t="s">
        <v>33</v>
      </c>
      <c r="I228" t="s">
        <v>49</v>
      </c>
      <c r="J228" t="str">
        <f>IF(ISBLANK(Table1[[#This Row],[Product]]),"Unknown",Table1[[#This Row],[Product]])</f>
        <v>Keyboard</v>
      </c>
      <c r="K228" s="3">
        <v>1</v>
      </c>
      <c r="L228" s="10">
        <v>799</v>
      </c>
      <c r="N228" t="str">
        <f>IF(ISBLANK(Table1[[#This Row],[Payment method]]),"Unknown",Table1[[#This Row],[Payment method]])</f>
        <v>Unknown</v>
      </c>
      <c r="O228" t="s">
        <v>17</v>
      </c>
      <c r="P228" t="str">
        <f>IF(Table1[[#This Row],[Unit price]]&gt;2000,"High Price","Standard Price")</f>
        <v>Standard Price</v>
      </c>
    </row>
    <row r="229" spans="1:16" x14ac:dyDescent="0.3">
      <c r="A229" s="3">
        <v>10228</v>
      </c>
      <c r="B229" s="1">
        <v>45768</v>
      </c>
      <c r="C229" s="3" t="s">
        <v>162</v>
      </c>
      <c r="D229" s="3" t="s">
        <v>7</v>
      </c>
      <c r="E229" t="s">
        <v>32</v>
      </c>
      <c r="F229" t="s">
        <v>15</v>
      </c>
      <c r="G229" t="str">
        <f>IF(ISBLANK(Table1[[#This Row],[State]]),"Unknown",Table1[[#This Row],[State]])</f>
        <v>Maharashtra</v>
      </c>
      <c r="H229" t="s">
        <v>33</v>
      </c>
      <c r="I229" t="s">
        <v>21</v>
      </c>
      <c r="J229" t="str">
        <f>IF(ISBLANK(Table1[[#This Row],[Product]]),"Unknown",Table1[[#This Row],[Product]])</f>
        <v>Headphones</v>
      </c>
      <c r="K229" s="3">
        <v>4</v>
      </c>
      <c r="L229" s="10">
        <v>299</v>
      </c>
      <c r="M229" t="s">
        <v>4</v>
      </c>
      <c r="N229" t="str">
        <f>IF(ISBLANK(Table1[[#This Row],[Payment method]]),"Unknown",Table1[[#This Row],[Payment method]])</f>
        <v>Net Banking</v>
      </c>
      <c r="O229" t="s">
        <v>58</v>
      </c>
      <c r="P229" t="str">
        <f>IF(Table1[[#This Row],[Unit price]]&gt;2000,"High Price","Standard Price")</f>
        <v>Standard Price</v>
      </c>
    </row>
    <row r="230" spans="1:16" x14ac:dyDescent="0.3">
      <c r="A230" s="3">
        <v>10229</v>
      </c>
      <c r="B230" s="1">
        <v>45751</v>
      </c>
      <c r="C230" s="3" t="s">
        <v>70</v>
      </c>
      <c r="D230" s="3" t="s">
        <v>43</v>
      </c>
      <c r="E230" t="s">
        <v>8</v>
      </c>
      <c r="F230" t="s">
        <v>52</v>
      </c>
      <c r="G230" t="str">
        <f>IF(ISBLANK(Table1[[#This Row],[State]]),"Unknown",Table1[[#This Row],[State]])</f>
        <v>Karnataka</v>
      </c>
      <c r="H230" t="s">
        <v>2</v>
      </c>
      <c r="I230" t="s">
        <v>3</v>
      </c>
      <c r="J230" t="str">
        <f>IF(ISBLANK(Table1[[#This Row],[Product]]),"Unknown",Table1[[#This Row],[Product]])</f>
        <v>T-Shirt</v>
      </c>
      <c r="K230" s="3">
        <v>2</v>
      </c>
      <c r="L230" s="10">
        <v>799</v>
      </c>
      <c r="N230" t="str">
        <f>IF(ISBLANK(Table1[[#This Row],[Payment method]]),"Unknown",Table1[[#This Row],[Payment method]])</f>
        <v>Unknown</v>
      </c>
      <c r="O230" t="s">
        <v>12</v>
      </c>
      <c r="P230" t="str">
        <f>IF(Table1[[#This Row],[Unit price]]&gt;2000,"High Price","Standard Price")</f>
        <v>Standard Price</v>
      </c>
    </row>
    <row r="231" spans="1:16" x14ac:dyDescent="0.3">
      <c r="A231" s="3">
        <v>10230</v>
      </c>
      <c r="B231" s="1">
        <v>45783</v>
      </c>
      <c r="C231" s="3" t="s">
        <v>91</v>
      </c>
      <c r="D231" s="3" t="s">
        <v>39</v>
      </c>
      <c r="E231" t="s">
        <v>32</v>
      </c>
      <c r="F231" t="s">
        <v>15</v>
      </c>
      <c r="G231" t="str">
        <f>IF(ISBLANK(Table1[[#This Row],[State]]),"Unknown",Table1[[#This Row],[State]])</f>
        <v>Maharashtra</v>
      </c>
      <c r="H231" t="s">
        <v>9</v>
      </c>
      <c r="I231" t="s">
        <v>16</v>
      </c>
      <c r="J231" t="str">
        <f>IF(ISBLANK(Table1[[#This Row],[Product]]),"Unknown",Table1[[#This Row],[Product]])</f>
        <v>Lamp</v>
      </c>
      <c r="K231" s="3">
        <v>5</v>
      </c>
      <c r="L231" s="10">
        <v>299</v>
      </c>
      <c r="M231" t="s">
        <v>4</v>
      </c>
      <c r="N231" t="str">
        <f>IF(ISBLANK(Table1[[#This Row],[Payment method]]),"Unknown",Table1[[#This Row],[Payment method]])</f>
        <v>Net Banking</v>
      </c>
      <c r="O231" t="s">
        <v>12</v>
      </c>
      <c r="P231" t="str">
        <f>IF(Table1[[#This Row],[Unit price]]&gt;2000,"High Price","Standard Price")</f>
        <v>Standard Price</v>
      </c>
    </row>
    <row r="232" spans="1:16" x14ac:dyDescent="0.3">
      <c r="A232" s="3">
        <v>10231</v>
      </c>
      <c r="B232" s="1">
        <v>45790</v>
      </c>
      <c r="C232" s="3" t="s">
        <v>172</v>
      </c>
      <c r="D232" s="3" t="s">
        <v>19</v>
      </c>
      <c r="E232" t="s">
        <v>8</v>
      </c>
      <c r="F232" t="s">
        <v>52</v>
      </c>
      <c r="G232" t="str">
        <f>IF(ISBLANK(Table1[[#This Row],[State]]),"Unknown",Table1[[#This Row],[State]])</f>
        <v>Karnataka</v>
      </c>
      <c r="H232" t="s">
        <v>9</v>
      </c>
      <c r="I232" t="s">
        <v>16</v>
      </c>
      <c r="J232" t="str">
        <f>IF(ISBLANK(Table1[[#This Row],[Product]]),"Unknown",Table1[[#This Row],[Product]])</f>
        <v>Lamp</v>
      </c>
      <c r="K232" s="3">
        <v>1</v>
      </c>
      <c r="L232" s="10">
        <v>499</v>
      </c>
      <c r="M232" t="s">
        <v>11</v>
      </c>
      <c r="N232" t="str">
        <f>IF(ISBLANK(Table1[[#This Row],[Payment method]]),"Unknown",Table1[[#This Row],[Payment method]])</f>
        <v>Cash on Delivery</v>
      </c>
      <c r="O232" t="s">
        <v>12</v>
      </c>
      <c r="P232" t="str">
        <f>IF(Table1[[#This Row],[Unit price]]&gt;2000,"High Price","Standard Price")</f>
        <v>Standard Price</v>
      </c>
    </row>
    <row r="233" spans="1:16" x14ac:dyDescent="0.3">
      <c r="A233" s="3">
        <v>10232</v>
      </c>
      <c r="B233" s="1">
        <v>45761</v>
      </c>
      <c r="C233" s="3" t="s">
        <v>173</v>
      </c>
      <c r="D233" s="3" t="s">
        <v>23</v>
      </c>
      <c r="E233" t="s">
        <v>247</v>
      </c>
      <c r="F233" t="s">
        <v>15</v>
      </c>
      <c r="G233" t="str">
        <f>IF(ISBLANK(Table1[[#This Row],[State]]),"Unknown",Table1[[#This Row],[State]])</f>
        <v>Maharashtra</v>
      </c>
      <c r="H233" t="s">
        <v>33</v>
      </c>
      <c r="I233" t="s">
        <v>37</v>
      </c>
      <c r="J233" t="str">
        <f>IF(ISBLANK(Table1[[#This Row],[Product]]),"Unknown",Table1[[#This Row],[Product]])</f>
        <v>Mouse</v>
      </c>
      <c r="K233" s="3">
        <v>1</v>
      </c>
      <c r="L233" s="10">
        <v>1299</v>
      </c>
      <c r="M233" t="s">
        <v>4</v>
      </c>
      <c r="N233" t="str">
        <f>IF(ISBLANK(Table1[[#This Row],[Payment method]]),"Unknown",Table1[[#This Row],[Payment method]])</f>
        <v>Net Banking</v>
      </c>
      <c r="O233" t="s">
        <v>12</v>
      </c>
      <c r="P233" t="str">
        <f>IF(Table1[[#This Row],[Unit price]]&gt;2000,"High Price","Standard Price")</f>
        <v>Standard Price</v>
      </c>
    </row>
    <row r="234" spans="1:16" x14ac:dyDescent="0.3">
      <c r="A234" s="3">
        <v>10233</v>
      </c>
      <c r="B234" s="1">
        <v>45690</v>
      </c>
      <c r="C234" s="3" t="s">
        <v>117</v>
      </c>
      <c r="D234" s="3" t="s">
        <v>19</v>
      </c>
      <c r="E234" t="s">
        <v>20</v>
      </c>
      <c r="F234" t="s">
        <v>20</v>
      </c>
      <c r="G234" t="str">
        <f>IF(ISBLANK(Table1[[#This Row],[State]]),"Unknown",Table1[[#This Row],[State]])</f>
        <v>Delhi</v>
      </c>
      <c r="H234" t="s">
        <v>2</v>
      </c>
      <c r="I234" t="s">
        <v>24</v>
      </c>
      <c r="J234" t="str">
        <f>IF(ISBLANK(Table1[[#This Row],[Product]]),"Unknown",Table1[[#This Row],[Product]])</f>
        <v>Jeans</v>
      </c>
      <c r="K234" s="3">
        <v>4</v>
      </c>
      <c r="L234" s="10">
        <v>1999</v>
      </c>
      <c r="M234" t="s">
        <v>11</v>
      </c>
      <c r="N234" t="str">
        <f>IF(ISBLANK(Table1[[#This Row],[Payment method]]),"Unknown",Table1[[#This Row],[Payment method]])</f>
        <v>Cash on Delivery</v>
      </c>
      <c r="O234" t="s">
        <v>12</v>
      </c>
      <c r="P234" t="str">
        <f>IF(Table1[[#This Row],[Unit price]]&gt;2000,"High Price","Standard Price")</f>
        <v>Standard Price</v>
      </c>
    </row>
    <row r="235" spans="1:16" x14ac:dyDescent="0.3">
      <c r="A235" s="3">
        <v>10234</v>
      </c>
      <c r="B235" s="1">
        <v>45761</v>
      </c>
      <c r="C235" s="3" t="s">
        <v>174</v>
      </c>
      <c r="D235" s="3" t="s">
        <v>19</v>
      </c>
      <c r="E235" t="s">
        <v>35</v>
      </c>
      <c r="F235" t="s">
        <v>15</v>
      </c>
      <c r="G235" t="str">
        <f>IF(ISBLANK(Table1[[#This Row],[State]]),"Unknown",Table1[[#This Row],[State]])</f>
        <v>Maharashtra</v>
      </c>
      <c r="H235" t="s">
        <v>9</v>
      </c>
      <c r="I235" t="s">
        <v>16</v>
      </c>
      <c r="J235" t="str">
        <f>IF(ISBLANK(Table1[[#This Row],[Product]]),"Unknown",Table1[[#This Row],[Product]])</f>
        <v>Lamp</v>
      </c>
      <c r="K235" s="3">
        <v>3</v>
      </c>
      <c r="L235" s="10">
        <v>1299</v>
      </c>
      <c r="N235" t="str">
        <f>IF(ISBLANK(Table1[[#This Row],[Payment method]]),"Unknown",Table1[[#This Row],[Payment method]])</f>
        <v>Unknown</v>
      </c>
      <c r="O235" t="s">
        <v>12</v>
      </c>
      <c r="P235" t="str">
        <f>IF(Table1[[#This Row],[Unit price]]&gt;2000,"High Price","Standard Price")</f>
        <v>Standard Price</v>
      </c>
    </row>
    <row r="236" spans="1:16" x14ac:dyDescent="0.3">
      <c r="A236" s="3">
        <v>10235</v>
      </c>
      <c r="B236" s="1">
        <v>45722</v>
      </c>
      <c r="C236" s="3" t="s">
        <v>175</v>
      </c>
      <c r="D236" s="3" t="s">
        <v>14</v>
      </c>
      <c r="E236" t="s">
        <v>20</v>
      </c>
      <c r="F236" t="s">
        <v>20</v>
      </c>
      <c r="G236" t="str">
        <f>IF(ISBLANK(Table1[[#This Row],[State]]),"Unknown",Table1[[#This Row],[State]])</f>
        <v>Delhi</v>
      </c>
      <c r="H236" t="s">
        <v>9</v>
      </c>
      <c r="I236" t="s">
        <v>10</v>
      </c>
      <c r="J236" t="str">
        <f>IF(ISBLANK(Table1[[#This Row],[Product]]),"Unknown",Table1[[#This Row],[Product]])</f>
        <v>Chair</v>
      </c>
      <c r="K236" s="3">
        <v>1</v>
      </c>
      <c r="L236" s="10">
        <v>999999</v>
      </c>
      <c r="N236" t="str">
        <f>IF(ISBLANK(Table1[[#This Row],[Payment method]]),"Unknown",Table1[[#This Row],[Payment method]])</f>
        <v>Unknown</v>
      </c>
      <c r="O236" t="s">
        <v>5</v>
      </c>
      <c r="P236" t="str">
        <f>IF(Table1[[#This Row],[Unit price]]&gt;2000,"High Price","Standard Price")</f>
        <v>High Price</v>
      </c>
    </row>
    <row r="237" spans="1:16" x14ac:dyDescent="0.3">
      <c r="A237" s="3">
        <v>10236</v>
      </c>
      <c r="B237" s="1">
        <v>45690</v>
      </c>
      <c r="C237" s="3" t="s">
        <v>25</v>
      </c>
      <c r="D237" s="3" t="s">
        <v>39</v>
      </c>
      <c r="E237" t="s">
        <v>20</v>
      </c>
      <c r="F237" t="s">
        <v>20</v>
      </c>
      <c r="G237" t="str">
        <f>IF(ISBLANK(Table1[[#This Row],[State]]),"Unknown",Table1[[#This Row],[State]])</f>
        <v>Delhi</v>
      </c>
      <c r="H237" t="s">
        <v>9</v>
      </c>
      <c r="I237" t="s">
        <v>10</v>
      </c>
      <c r="J237" t="str">
        <f>IF(ISBLANK(Table1[[#This Row],[Product]]),"Unknown",Table1[[#This Row],[Product]])</f>
        <v>Chair</v>
      </c>
      <c r="K237" s="3">
        <v>1</v>
      </c>
      <c r="L237" s="10">
        <v>1999</v>
      </c>
      <c r="N237" t="str">
        <f>IF(ISBLANK(Table1[[#This Row],[Payment method]]),"Unknown",Table1[[#This Row],[Payment method]])</f>
        <v>Unknown</v>
      </c>
      <c r="O237" t="s">
        <v>58</v>
      </c>
      <c r="P237" t="str">
        <f>IF(Table1[[#This Row],[Unit price]]&gt;2000,"High Price","Standard Price")</f>
        <v>Standard Price</v>
      </c>
    </row>
    <row r="238" spans="1:16" x14ac:dyDescent="0.3">
      <c r="A238" s="3">
        <v>10237</v>
      </c>
      <c r="B238" s="1">
        <v>45736</v>
      </c>
      <c r="C238" s="3" t="s">
        <v>176</v>
      </c>
      <c r="D238" s="3" t="s">
        <v>57</v>
      </c>
      <c r="E238" t="s">
        <v>32</v>
      </c>
      <c r="F238" t="s">
        <v>36</v>
      </c>
      <c r="G238" t="str">
        <f>IF(ISBLANK(Table1[[#This Row],[State]]),"Unknown",Table1[[#This Row],[State]])</f>
        <v>Maharastra</v>
      </c>
      <c r="H238" t="s">
        <v>2</v>
      </c>
      <c r="I238" t="s">
        <v>24</v>
      </c>
      <c r="J238" t="str">
        <f>IF(ISBLANK(Table1[[#This Row],[Product]]),"Unknown",Table1[[#This Row],[Product]])</f>
        <v>Jeans</v>
      </c>
      <c r="K238" s="3">
        <v>999</v>
      </c>
      <c r="L238" s="10">
        <v>799</v>
      </c>
      <c r="N238" t="str">
        <f>IF(ISBLANK(Table1[[#This Row],[Payment method]]),"Unknown",Table1[[#This Row],[Payment method]])</f>
        <v>Unknown</v>
      </c>
      <c r="O238" t="s">
        <v>5</v>
      </c>
      <c r="P238" t="str">
        <f>IF(Table1[[#This Row],[Unit price]]&gt;2000,"High Price","Standard Price")</f>
        <v>Standard Price</v>
      </c>
    </row>
    <row r="239" spans="1:16" x14ac:dyDescent="0.3">
      <c r="A239" s="3">
        <v>10238</v>
      </c>
      <c r="B239" s="1">
        <v>45723</v>
      </c>
      <c r="C239" s="3" t="s">
        <v>71</v>
      </c>
      <c r="D239" s="3" t="s">
        <v>43</v>
      </c>
      <c r="E239" t="s">
        <v>8</v>
      </c>
      <c r="F239" t="s">
        <v>52</v>
      </c>
      <c r="G239" t="str">
        <f>IF(ISBLANK(Table1[[#This Row],[State]]),"Unknown",Table1[[#This Row],[State]])</f>
        <v>Karnataka</v>
      </c>
      <c r="H239" t="s">
        <v>2</v>
      </c>
      <c r="I239" t="s">
        <v>24</v>
      </c>
      <c r="J239" t="str">
        <f>IF(ISBLANK(Table1[[#This Row],[Product]]),"Unknown",Table1[[#This Row],[Product]])</f>
        <v>Jeans</v>
      </c>
      <c r="K239" s="3">
        <v>4</v>
      </c>
      <c r="L239" s="10">
        <v>1999</v>
      </c>
      <c r="M239" t="s">
        <v>26</v>
      </c>
      <c r="N239" t="str">
        <f>IF(ISBLANK(Table1[[#This Row],[Payment method]]),"Unknown",Table1[[#This Row],[Payment method]])</f>
        <v>Card</v>
      </c>
      <c r="O239" t="s">
        <v>12</v>
      </c>
      <c r="P239" t="str">
        <f>IF(Table1[[#This Row],[Unit price]]&gt;2000,"High Price","Standard Price")</f>
        <v>Standard Price</v>
      </c>
    </row>
    <row r="240" spans="1:16" x14ac:dyDescent="0.3">
      <c r="A240" s="3">
        <v>10239</v>
      </c>
      <c r="B240" s="1">
        <v>45729</v>
      </c>
      <c r="C240" s="3" t="s">
        <v>177</v>
      </c>
      <c r="D240" s="3" t="s">
        <v>19</v>
      </c>
      <c r="E240" t="s">
        <v>20</v>
      </c>
      <c r="F240" t="s">
        <v>20</v>
      </c>
      <c r="G240" t="str">
        <f>IF(ISBLANK(Table1[[#This Row],[State]]),"Unknown",Table1[[#This Row],[State]])</f>
        <v>Delhi</v>
      </c>
      <c r="H240" t="s">
        <v>33</v>
      </c>
      <c r="I240" t="s">
        <v>49</v>
      </c>
      <c r="J240" t="str">
        <f>IF(ISBLANK(Table1[[#This Row],[Product]]),"Unknown",Table1[[#This Row],[Product]])</f>
        <v>Keyboard</v>
      </c>
      <c r="K240" s="3">
        <v>3</v>
      </c>
      <c r="L240" s="10">
        <v>499</v>
      </c>
      <c r="M240" t="s">
        <v>11</v>
      </c>
      <c r="N240" t="str">
        <f>IF(ISBLANK(Table1[[#This Row],[Payment method]]),"Unknown",Table1[[#This Row],[Payment method]])</f>
        <v>Cash on Delivery</v>
      </c>
      <c r="O240" t="s">
        <v>5</v>
      </c>
      <c r="P240" t="str">
        <f>IF(Table1[[#This Row],[Unit price]]&gt;2000,"High Price","Standard Price")</f>
        <v>Standard Price</v>
      </c>
    </row>
    <row r="241" spans="1:16" x14ac:dyDescent="0.3">
      <c r="A241" s="3">
        <v>10240</v>
      </c>
      <c r="B241" s="1">
        <v>45822</v>
      </c>
      <c r="C241" s="3" t="s">
        <v>178</v>
      </c>
      <c r="D241" s="3" t="s">
        <v>14</v>
      </c>
      <c r="E241" t="s">
        <v>45</v>
      </c>
      <c r="F241" t="s">
        <v>54</v>
      </c>
      <c r="G241" t="str">
        <f>IF(ISBLANK(Table1[[#This Row],[State]]),"Unknown",Table1[[#This Row],[State]])</f>
        <v>Uttar Pradesh</v>
      </c>
      <c r="H241" t="s">
        <v>2</v>
      </c>
      <c r="I241" t="s">
        <v>24</v>
      </c>
      <c r="J241" t="str">
        <f>IF(ISBLANK(Table1[[#This Row],[Product]]),"Unknown",Table1[[#This Row],[Product]])</f>
        <v>Jeans</v>
      </c>
      <c r="K241" s="3">
        <v>4</v>
      </c>
      <c r="L241" s="10">
        <v>1999</v>
      </c>
      <c r="M241" t="s">
        <v>26</v>
      </c>
      <c r="N241" t="str">
        <f>IF(ISBLANK(Table1[[#This Row],[Payment method]]),"Unknown",Table1[[#This Row],[Payment method]])</f>
        <v>Card</v>
      </c>
      <c r="O241" t="s">
        <v>5</v>
      </c>
      <c r="P241" t="str">
        <f>IF(Table1[[#This Row],[Unit price]]&gt;2000,"High Price","Standard Price")</f>
        <v>Standard Price</v>
      </c>
    </row>
    <row r="242" spans="1:16" x14ac:dyDescent="0.3">
      <c r="A242" s="3">
        <v>10241</v>
      </c>
      <c r="B242" s="1">
        <v>45715</v>
      </c>
      <c r="C242" s="3" t="s">
        <v>55</v>
      </c>
      <c r="D242" s="3" t="s">
        <v>57</v>
      </c>
      <c r="E242" t="s">
        <v>32</v>
      </c>
      <c r="F242" t="s">
        <v>36</v>
      </c>
      <c r="G242" t="str">
        <f>IF(ISBLANK(Table1[[#This Row],[State]]),"Unknown",Table1[[#This Row],[State]])</f>
        <v>Maharastra</v>
      </c>
      <c r="H242" t="s">
        <v>9</v>
      </c>
      <c r="I242" t="s">
        <v>10</v>
      </c>
      <c r="J242" t="str">
        <f>IF(ISBLANK(Table1[[#This Row],[Product]]),"Unknown",Table1[[#This Row],[Product]])</f>
        <v>Chair</v>
      </c>
      <c r="K242" s="3">
        <v>3</v>
      </c>
      <c r="L242" s="10">
        <v>1999</v>
      </c>
      <c r="M242" t="s">
        <v>26</v>
      </c>
      <c r="N242" t="str">
        <f>IF(ISBLANK(Table1[[#This Row],[Payment method]]),"Unknown",Table1[[#This Row],[Payment method]])</f>
        <v>Card</v>
      </c>
      <c r="O242" t="s">
        <v>5</v>
      </c>
      <c r="P242" t="str">
        <f>IF(Table1[[#This Row],[Unit price]]&gt;2000,"High Price","Standard Price")</f>
        <v>Standard Price</v>
      </c>
    </row>
    <row r="243" spans="1:16" x14ac:dyDescent="0.3">
      <c r="A243" s="3">
        <v>10242</v>
      </c>
      <c r="B243" s="1">
        <v>45667</v>
      </c>
      <c r="C243" s="3" t="s">
        <v>103</v>
      </c>
      <c r="D243" s="3" t="s">
        <v>1</v>
      </c>
      <c r="E243" t="s">
        <v>35</v>
      </c>
      <c r="F243" t="s">
        <v>15</v>
      </c>
      <c r="G243" t="str">
        <f>IF(ISBLANK(Table1[[#This Row],[State]]),"Unknown",Table1[[#This Row],[State]])</f>
        <v>Maharashtra</v>
      </c>
      <c r="H243" t="s">
        <v>2</v>
      </c>
      <c r="I243" t="s">
        <v>3</v>
      </c>
      <c r="J243" t="str">
        <f>IF(ISBLANK(Table1[[#This Row],[Product]]),"Unknown",Table1[[#This Row],[Product]])</f>
        <v>T-Shirt</v>
      </c>
      <c r="K243" s="3">
        <v>4</v>
      </c>
      <c r="L243" s="10">
        <v>499</v>
      </c>
      <c r="N243" t="str">
        <f>IF(ISBLANK(Table1[[#This Row],[Payment method]]),"Unknown",Table1[[#This Row],[Payment method]])</f>
        <v>Unknown</v>
      </c>
      <c r="O243" t="s">
        <v>17</v>
      </c>
      <c r="P243" t="str">
        <f>IF(Table1[[#This Row],[Unit price]]&gt;2000,"High Price","Standard Price")</f>
        <v>Standard Price</v>
      </c>
    </row>
    <row r="244" spans="1:16" x14ac:dyDescent="0.3">
      <c r="A244" s="3">
        <v>10243</v>
      </c>
      <c r="B244" s="1">
        <v>45799</v>
      </c>
      <c r="C244" s="3" t="s">
        <v>106</v>
      </c>
      <c r="D244" s="3" t="s">
        <v>14</v>
      </c>
      <c r="E244" t="s">
        <v>32</v>
      </c>
      <c r="F244" t="s">
        <v>15</v>
      </c>
      <c r="G244" t="str">
        <f>IF(ISBLANK(Table1[[#This Row],[State]]),"Unknown",Table1[[#This Row],[State]])</f>
        <v>Maharashtra</v>
      </c>
      <c r="H244" t="s">
        <v>9</v>
      </c>
      <c r="I244" t="s">
        <v>10</v>
      </c>
      <c r="J244" t="str">
        <f>IF(ISBLANK(Table1[[#This Row],[Product]]),"Unknown",Table1[[#This Row],[Product]])</f>
        <v>Chair</v>
      </c>
      <c r="K244" s="3">
        <v>3</v>
      </c>
      <c r="L244" s="10">
        <v>1299</v>
      </c>
      <c r="M244" t="s">
        <v>26</v>
      </c>
      <c r="N244" t="str">
        <f>IF(ISBLANK(Table1[[#This Row],[Payment method]]),"Unknown",Table1[[#This Row],[Payment method]])</f>
        <v>Card</v>
      </c>
      <c r="O244" t="s">
        <v>12</v>
      </c>
      <c r="P244" t="str">
        <f>IF(Table1[[#This Row],[Unit price]]&gt;2000,"High Price","Standard Price")</f>
        <v>Standard Price</v>
      </c>
    </row>
    <row r="245" spans="1:16" x14ac:dyDescent="0.3">
      <c r="A245" s="3">
        <v>10244</v>
      </c>
      <c r="B245" s="1">
        <v>45817</v>
      </c>
      <c r="C245" s="3" t="s">
        <v>64</v>
      </c>
      <c r="D245" s="3" t="s">
        <v>14</v>
      </c>
      <c r="E245" t="s">
        <v>32</v>
      </c>
      <c r="F245" t="s">
        <v>36</v>
      </c>
      <c r="G245" t="str">
        <f>IF(ISBLANK(Table1[[#This Row],[State]]),"Unknown",Table1[[#This Row],[State]])</f>
        <v>Maharastra</v>
      </c>
      <c r="H245" t="s">
        <v>2</v>
      </c>
      <c r="I245" t="s">
        <v>24</v>
      </c>
      <c r="J245" t="str">
        <f>IF(ISBLANK(Table1[[#This Row],[Product]]),"Unknown",Table1[[#This Row],[Product]])</f>
        <v>Jeans</v>
      </c>
      <c r="K245" s="3">
        <v>2</v>
      </c>
      <c r="L245" s="10">
        <v>999999</v>
      </c>
      <c r="N245" t="str">
        <f>IF(ISBLANK(Table1[[#This Row],[Payment method]]),"Unknown",Table1[[#This Row],[Payment method]])</f>
        <v>Unknown</v>
      </c>
      <c r="O245" t="s">
        <v>5</v>
      </c>
      <c r="P245" t="str">
        <f>IF(Table1[[#This Row],[Unit price]]&gt;2000,"High Price","Standard Price")</f>
        <v>High Price</v>
      </c>
    </row>
    <row r="246" spans="1:16" x14ac:dyDescent="0.3">
      <c r="A246" s="3">
        <v>10245</v>
      </c>
      <c r="B246" s="1">
        <v>45768</v>
      </c>
      <c r="C246" s="3" t="s">
        <v>179</v>
      </c>
      <c r="D246" s="3" t="s">
        <v>7</v>
      </c>
      <c r="E246" t="s">
        <v>45</v>
      </c>
      <c r="F246" t="s">
        <v>54</v>
      </c>
      <c r="G246" t="str">
        <f>IF(ISBLANK(Table1[[#This Row],[State]]),"Unknown",Table1[[#This Row],[State]])</f>
        <v>Uttar Pradesh</v>
      </c>
      <c r="H246" t="s">
        <v>9</v>
      </c>
      <c r="I246" t="s">
        <v>16</v>
      </c>
      <c r="J246" t="str">
        <f>IF(ISBLANK(Table1[[#This Row],[Product]]),"Unknown",Table1[[#This Row],[Product]])</f>
        <v>Lamp</v>
      </c>
      <c r="K246" s="3">
        <v>4</v>
      </c>
      <c r="L246" s="10">
        <v>799</v>
      </c>
      <c r="N246" t="str">
        <f>IF(ISBLANK(Table1[[#This Row],[Payment method]]),"Unknown",Table1[[#This Row],[Payment method]])</f>
        <v>Unknown</v>
      </c>
      <c r="O246" t="s">
        <v>17</v>
      </c>
      <c r="P246" t="str">
        <f>IF(Table1[[#This Row],[Unit price]]&gt;2000,"High Price","Standard Price")</f>
        <v>Standard Price</v>
      </c>
    </row>
    <row r="247" spans="1:16" x14ac:dyDescent="0.3">
      <c r="A247" s="3">
        <v>10246</v>
      </c>
      <c r="B247" s="1">
        <v>45698</v>
      </c>
      <c r="C247" s="3" t="s">
        <v>29</v>
      </c>
      <c r="D247" s="3" t="s">
        <v>43</v>
      </c>
      <c r="E247" t="s">
        <v>32</v>
      </c>
      <c r="F247" t="s">
        <v>36</v>
      </c>
      <c r="G247" t="str">
        <f>IF(ISBLANK(Table1[[#This Row],[State]]),"Unknown",Table1[[#This Row],[State]])</f>
        <v>Maharastra</v>
      </c>
      <c r="H247" t="s">
        <v>2</v>
      </c>
      <c r="I247" t="s">
        <v>24</v>
      </c>
      <c r="J247" t="str">
        <f>IF(ISBLANK(Table1[[#This Row],[Product]]),"Unknown",Table1[[#This Row],[Product]])</f>
        <v>Jeans</v>
      </c>
      <c r="K247" s="3">
        <v>0</v>
      </c>
      <c r="L247" s="10">
        <v>1299</v>
      </c>
      <c r="M247" t="s">
        <v>11</v>
      </c>
      <c r="N247" t="str">
        <f>IF(ISBLANK(Table1[[#This Row],[Payment method]]),"Unknown",Table1[[#This Row],[Payment method]])</f>
        <v>Cash on Delivery</v>
      </c>
      <c r="O247" t="s">
        <v>17</v>
      </c>
      <c r="P247" t="str">
        <f>IF(Table1[[#This Row],[Unit price]]&gt;2000,"High Price","Standard Price")</f>
        <v>Standard Price</v>
      </c>
    </row>
    <row r="248" spans="1:16" x14ac:dyDescent="0.3">
      <c r="A248" s="3">
        <v>10247</v>
      </c>
      <c r="B248" s="1">
        <v>45792</v>
      </c>
      <c r="C248" s="3" t="s">
        <v>180</v>
      </c>
      <c r="D248" s="3" t="s">
        <v>43</v>
      </c>
      <c r="E248" t="s">
        <v>248</v>
      </c>
      <c r="F248" t="s">
        <v>52</v>
      </c>
      <c r="G248" t="str">
        <f>IF(ISBLANK(Table1[[#This Row],[State]]),"Unknown",Table1[[#This Row],[State]])</f>
        <v>Karnataka</v>
      </c>
      <c r="H248" t="s">
        <v>9</v>
      </c>
      <c r="I248" t="s">
        <v>16</v>
      </c>
      <c r="J248" t="str">
        <f>IF(ISBLANK(Table1[[#This Row],[Product]]),"Unknown",Table1[[#This Row],[Product]])</f>
        <v>Lamp</v>
      </c>
      <c r="K248" s="3">
        <v>5</v>
      </c>
      <c r="L248" s="10">
        <v>799</v>
      </c>
      <c r="M248" t="s">
        <v>26</v>
      </c>
      <c r="N248" t="str">
        <f>IF(ISBLANK(Table1[[#This Row],[Payment method]]),"Unknown",Table1[[#This Row],[Payment method]])</f>
        <v>Card</v>
      </c>
      <c r="O248" t="s">
        <v>58</v>
      </c>
      <c r="P248" t="str">
        <f>IF(Table1[[#This Row],[Unit price]]&gt;2000,"High Price","Standard Price")</f>
        <v>Standard Price</v>
      </c>
    </row>
    <row r="249" spans="1:16" x14ac:dyDescent="0.3">
      <c r="A249" s="3">
        <v>10248</v>
      </c>
      <c r="B249" s="1">
        <v>45677</v>
      </c>
      <c r="C249" s="3" t="s">
        <v>65</v>
      </c>
      <c r="D249" s="3" t="s">
        <v>14</v>
      </c>
      <c r="E249" t="s">
        <v>45</v>
      </c>
      <c r="F249" t="s">
        <v>54</v>
      </c>
      <c r="G249" t="str">
        <f>IF(ISBLANK(Table1[[#This Row],[State]]),"Unknown",Table1[[#This Row],[State]])</f>
        <v>Uttar Pradesh</v>
      </c>
      <c r="H249" t="s">
        <v>2</v>
      </c>
      <c r="I249" t="s">
        <v>24</v>
      </c>
      <c r="J249" t="str">
        <f>IF(ISBLANK(Table1[[#This Row],[Product]]),"Unknown",Table1[[#This Row],[Product]])</f>
        <v>Jeans</v>
      </c>
      <c r="K249" s="3">
        <v>4</v>
      </c>
      <c r="L249" s="10">
        <v>1299</v>
      </c>
      <c r="M249" t="s">
        <v>4</v>
      </c>
      <c r="N249" t="str">
        <f>IF(ISBLANK(Table1[[#This Row],[Payment method]]),"Unknown",Table1[[#This Row],[Payment method]])</f>
        <v>Net Banking</v>
      </c>
      <c r="O249" t="s">
        <v>58</v>
      </c>
      <c r="P249" t="str">
        <f>IF(Table1[[#This Row],[Unit price]]&gt;2000,"High Price","Standard Price")</f>
        <v>Standard Price</v>
      </c>
    </row>
    <row r="250" spans="1:16" x14ac:dyDescent="0.3">
      <c r="A250" s="3">
        <v>10249</v>
      </c>
      <c r="B250" s="1">
        <v>45659</v>
      </c>
      <c r="C250" s="3" t="s">
        <v>153</v>
      </c>
      <c r="D250" s="3" t="s">
        <v>57</v>
      </c>
      <c r="E250" t="s">
        <v>45</v>
      </c>
      <c r="F250" t="s">
        <v>54</v>
      </c>
      <c r="G250" t="str">
        <f>IF(ISBLANK(Table1[[#This Row],[State]]),"Unknown",Table1[[#This Row],[State]])</f>
        <v>Uttar Pradesh</v>
      </c>
      <c r="H250" t="s">
        <v>9</v>
      </c>
      <c r="I250" t="s">
        <v>16</v>
      </c>
      <c r="J250" t="str">
        <f>IF(ISBLANK(Table1[[#This Row],[Product]]),"Unknown",Table1[[#This Row],[Product]])</f>
        <v>Lamp</v>
      </c>
      <c r="K250" s="3">
        <v>1</v>
      </c>
      <c r="L250" s="10">
        <v>1299</v>
      </c>
      <c r="N250" t="str">
        <f>IF(ISBLANK(Table1[[#This Row],[Payment method]]),"Unknown",Table1[[#This Row],[Payment method]])</f>
        <v>Unknown</v>
      </c>
      <c r="O250" t="s">
        <v>58</v>
      </c>
      <c r="P250" t="str">
        <f>IF(Table1[[#This Row],[Unit price]]&gt;2000,"High Price","Standard Price")</f>
        <v>Standard Price</v>
      </c>
    </row>
    <row r="251" spans="1:16" x14ac:dyDescent="0.3">
      <c r="A251" s="3">
        <v>10250</v>
      </c>
      <c r="B251" s="1">
        <v>45737</v>
      </c>
      <c r="C251" s="3" t="s">
        <v>51</v>
      </c>
      <c r="D251" s="3" t="s">
        <v>1</v>
      </c>
      <c r="E251" t="s">
        <v>249</v>
      </c>
      <c r="F251" t="s">
        <v>36</v>
      </c>
      <c r="G251" t="str">
        <f>IF(ISBLANK(Table1[[#This Row],[State]]),"Unknown",Table1[[#This Row],[State]])</f>
        <v>Maharastra</v>
      </c>
      <c r="H251" t="s">
        <v>33</v>
      </c>
      <c r="I251" t="s">
        <v>37</v>
      </c>
      <c r="J251" t="str">
        <f>IF(ISBLANK(Table1[[#This Row],[Product]]),"Unknown",Table1[[#This Row],[Product]])</f>
        <v>Mouse</v>
      </c>
      <c r="K251" s="3">
        <v>0</v>
      </c>
      <c r="L251" s="10">
        <v>1299</v>
      </c>
      <c r="N251" t="str">
        <f>IF(ISBLANK(Table1[[#This Row],[Payment method]]),"Unknown",Table1[[#This Row],[Payment method]])</f>
        <v>Unknown</v>
      </c>
      <c r="O251" t="s">
        <v>12</v>
      </c>
      <c r="P251" t="str">
        <f>IF(Table1[[#This Row],[Unit price]]&gt;2000,"High Price","Standard Price")</f>
        <v>Standard Price</v>
      </c>
    </row>
    <row r="252" spans="1:16" x14ac:dyDescent="0.3">
      <c r="A252" s="3">
        <v>10251</v>
      </c>
      <c r="B252" s="1">
        <v>45712</v>
      </c>
      <c r="C252" s="3" t="s">
        <v>168</v>
      </c>
      <c r="D252" s="3" t="s">
        <v>57</v>
      </c>
      <c r="E252" t="s">
        <v>249</v>
      </c>
      <c r="F252" t="s">
        <v>15</v>
      </c>
      <c r="G252" t="str">
        <f>IF(ISBLANK(Table1[[#This Row],[State]]),"Unknown",Table1[[#This Row],[State]])</f>
        <v>Maharashtra</v>
      </c>
      <c r="H252" t="s">
        <v>2</v>
      </c>
      <c r="I252" t="s">
        <v>3</v>
      </c>
      <c r="J252" t="str">
        <f>IF(ISBLANK(Table1[[#This Row],[Product]]),"Unknown",Table1[[#This Row],[Product]])</f>
        <v>T-Shirt</v>
      </c>
      <c r="K252" s="3">
        <v>5</v>
      </c>
      <c r="L252" s="10">
        <v>499</v>
      </c>
      <c r="N252" t="str">
        <f>IF(ISBLANK(Table1[[#This Row],[Payment method]]),"Unknown",Table1[[#This Row],[Payment method]])</f>
        <v>Unknown</v>
      </c>
      <c r="O252" t="s">
        <v>5</v>
      </c>
      <c r="P252" t="str">
        <f>IF(Table1[[#This Row],[Unit price]]&gt;2000,"High Price","Standard Price")</f>
        <v>Standard Price</v>
      </c>
    </row>
    <row r="253" spans="1:16" x14ac:dyDescent="0.3">
      <c r="A253" s="3">
        <v>10252</v>
      </c>
      <c r="B253" s="1">
        <v>45680</v>
      </c>
      <c r="C253" s="3" t="s">
        <v>76</v>
      </c>
      <c r="D253" s="3" t="s">
        <v>1</v>
      </c>
      <c r="E253" t="s">
        <v>20</v>
      </c>
      <c r="F253" t="s">
        <v>20</v>
      </c>
      <c r="G253" t="str">
        <f>IF(ISBLANK(Table1[[#This Row],[State]]),"Unknown",Table1[[#This Row],[State]])</f>
        <v>Delhi</v>
      </c>
      <c r="H253" t="s">
        <v>33</v>
      </c>
      <c r="I253" t="s">
        <v>49</v>
      </c>
      <c r="J253" t="str">
        <f>IF(ISBLANK(Table1[[#This Row],[Product]]),"Unknown",Table1[[#This Row],[Product]])</f>
        <v>Keyboard</v>
      </c>
      <c r="K253" s="3">
        <v>3</v>
      </c>
      <c r="L253" s="10">
        <v>1299</v>
      </c>
      <c r="M253" t="s">
        <v>4</v>
      </c>
      <c r="N253" t="str">
        <f>IF(ISBLANK(Table1[[#This Row],[Payment method]]),"Unknown",Table1[[#This Row],[Payment method]])</f>
        <v>Net Banking</v>
      </c>
      <c r="O253" t="s">
        <v>58</v>
      </c>
      <c r="P253" t="str">
        <f>IF(Table1[[#This Row],[Unit price]]&gt;2000,"High Price","Standard Price")</f>
        <v>Standard Price</v>
      </c>
    </row>
    <row r="254" spans="1:16" x14ac:dyDescent="0.3">
      <c r="A254" s="3">
        <v>10253</v>
      </c>
      <c r="B254" s="1">
        <v>45761</v>
      </c>
      <c r="C254" s="3" t="s">
        <v>181</v>
      </c>
      <c r="D254" s="3" t="s">
        <v>57</v>
      </c>
      <c r="E254" t="s">
        <v>20</v>
      </c>
      <c r="F254" t="s">
        <v>20</v>
      </c>
      <c r="G254" t="str">
        <f>IF(ISBLANK(Table1[[#This Row],[State]]),"Unknown",Table1[[#This Row],[State]])</f>
        <v>Delhi</v>
      </c>
      <c r="H254" t="s">
        <v>9</v>
      </c>
      <c r="I254" t="s">
        <v>10</v>
      </c>
      <c r="J254" t="str">
        <f>IF(ISBLANK(Table1[[#This Row],[Product]]),"Unknown",Table1[[#This Row],[Product]])</f>
        <v>Chair</v>
      </c>
      <c r="K254" s="3">
        <v>1</v>
      </c>
      <c r="L254" s="10">
        <v>299</v>
      </c>
      <c r="N254" t="str">
        <f>IF(ISBLANK(Table1[[#This Row],[Payment method]]),"Unknown",Table1[[#This Row],[Payment method]])</f>
        <v>Unknown</v>
      </c>
      <c r="O254" t="s">
        <v>17</v>
      </c>
      <c r="P254" t="str">
        <f>IF(Table1[[#This Row],[Unit price]]&gt;2000,"High Price","Standard Price")</f>
        <v>Standard Price</v>
      </c>
    </row>
    <row r="255" spans="1:16" x14ac:dyDescent="0.3">
      <c r="A255" s="3">
        <v>10254</v>
      </c>
      <c r="B255" s="1">
        <v>45769</v>
      </c>
      <c r="C255" s="3" t="s">
        <v>182</v>
      </c>
      <c r="D255" s="3" t="s">
        <v>39</v>
      </c>
      <c r="E255" t="s">
        <v>20</v>
      </c>
      <c r="F255" t="s">
        <v>20</v>
      </c>
      <c r="G255" t="str">
        <f>IF(ISBLANK(Table1[[#This Row],[State]]),"Unknown",Table1[[#This Row],[State]])</f>
        <v>Delhi</v>
      </c>
      <c r="H255" t="s">
        <v>2</v>
      </c>
      <c r="I255" t="s">
        <v>24</v>
      </c>
      <c r="J255" t="str">
        <f>IF(ISBLANK(Table1[[#This Row],[Product]]),"Unknown",Table1[[#This Row],[Product]])</f>
        <v>Jeans</v>
      </c>
      <c r="K255" s="3">
        <v>2</v>
      </c>
      <c r="L255" s="10">
        <v>799</v>
      </c>
      <c r="M255" t="s">
        <v>26</v>
      </c>
      <c r="N255" t="str">
        <f>IF(ISBLANK(Table1[[#This Row],[Payment method]]),"Unknown",Table1[[#This Row],[Payment method]])</f>
        <v>Card</v>
      </c>
      <c r="O255" t="s">
        <v>12</v>
      </c>
      <c r="P255" t="str">
        <f>IF(Table1[[#This Row],[Unit price]]&gt;2000,"High Price","Standard Price")</f>
        <v>Standard Price</v>
      </c>
    </row>
    <row r="256" spans="1:16" x14ac:dyDescent="0.3">
      <c r="A256" s="3">
        <v>10255</v>
      </c>
      <c r="B256" s="1">
        <v>45785</v>
      </c>
      <c r="C256" s="3" t="s">
        <v>169</v>
      </c>
      <c r="D256" s="3" t="s">
        <v>57</v>
      </c>
      <c r="E256" t="s">
        <v>20</v>
      </c>
      <c r="F256" t="s">
        <v>20</v>
      </c>
      <c r="G256" t="str">
        <f>IF(ISBLANK(Table1[[#This Row],[State]]),"Unknown",Table1[[#This Row],[State]])</f>
        <v>Delhi</v>
      </c>
      <c r="H256" t="s">
        <v>2</v>
      </c>
      <c r="I256" t="s">
        <v>3</v>
      </c>
      <c r="J256" t="str">
        <f>IF(ISBLANK(Table1[[#This Row],[Product]]),"Unknown",Table1[[#This Row],[Product]])</f>
        <v>T-Shirt</v>
      </c>
      <c r="K256" s="3">
        <v>5</v>
      </c>
      <c r="L256" s="10">
        <v>1999</v>
      </c>
      <c r="M256" t="s">
        <v>4</v>
      </c>
      <c r="N256" t="str">
        <f>IF(ISBLANK(Table1[[#This Row],[Payment method]]),"Unknown",Table1[[#This Row],[Payment method]])</f>
        <v>Net Banking</v>
      </c>
      <c r="O256" t="s">
        <v>12</v>
      </c>
      <c r="P256" t="str">
        <f>IF(Table1[[#This Row],[Unit price]]&gt;2000,"High Price","Standard Price")</f>
        <v>Standard Price</v>
      </c>
    </row>
    <row r="257" spans="1:16" x14ac:dyDescent="0.3">
      <c r="A257" s="3">
        <v>10256</v>
      </c>
      <c r="B257" s="1">
        <v>45735</v>
      </c>
      <c r="C257" s="3" t="s">
        <v>176</v>
      </c>
      <c r="D257" s="3" t="s">
        <v>39</v>
      </c>
      <c r="E257" t="s">
        <v>45</v>
      </c>
      <c r="F257" t="s">
        <v>54</v>
      </c>
      <c r="G257" t="str">
        <f>IF(ISBLANK(Table1[[#This Row],[State]]),"Unknown",Table1[[#This Row],[State]])</f>
        <v>Uttar Pradesh</v>
      </c>
      <c r="H257" t="s">
        <v>9</v>
      </c>
      <c r="I257" t="s">
        <v>16</v>
      </c>
      <c r="J257" t="str">
        <f>IF(ISBLANK(Table1[[#This Row],[Product]]),"Unknown",Table1[[#This Row],[Product]])</f>
        <v>Lamp</v>
      </c>
      <c r="K257" s="3">
        <v>1</v>
      </c>
      <c r="L257" s="10">
        <v>1299</v>
      </c>
      <c r="N257" t="str">
        <f>IF(ISBLANK(Table1[[#This Row],[Payment method]]),"Unknown",Table1[[#This Row],[Payment method]])</f>
        <v>Unknown</v>
      </c>
      <c r="O257" t="s">
        <v>5</v>
      </c>
      <c r="P257" t="str">
        <f>IF(Table1[[#This Row],[Unit price]]&gt;2000,"High Price","Standard Price")</f>
        <v>Standard Price</v>
      </c>
    </row>
    <row r="258" spans="1:16" x14ac:dyDescent="0.3">
      <c r="A258" s="3">
        <v>10257</v>
      </c>
      <c r="B258" s="1">
        <v>45824</v>
      </c>
      <c r="C258" s="3" t="s">
        <v>167</v>
      </c>
      <c r="D258" s="3" t="s">
        <v>14</v>
      </c>
      <c r="E258" t="s">
        <v>32</v>
      </c>
      <c r="F258" t="s">
        <v>15</v>
      </c>
      <c r="G258" t="str">
        <f>IF(ISBLANK(Table1[[#This Row],[State]]),"Unknown",Table1[[#This Row],[State]])</f>
        <v>Maharashtra</v>
      </c>
      <c r="H258" t="s">
        <v>33</v>
      </c>
      <c r="I258" t="s">
        <v>37</v>
      </c>
      <c r="J258" t="str">
        <f>IF(ISBLANK(Table1[[#This Row],[Product]]),"Unknown",Table1[[#This Row],[Product]])</f>
        <v>Mouse</v>
      </c>
      <c r="K258" s="3">
        <v>3</v>
      </c>
      <c r="L258" s="10">
        <v>299</v>
      </c>
      <c r="M258" t="s">
        <v>11</v>
      </c>
      <c r="N258" t="str">
        <f>IF(ISBLANK(Table1[[#This Row],[Payment method]]),"Unknown",Table1[[#This Row],[Payment method]])</f>
        <v>Cash on Delivery</v>
      </c>
      <c r="O258" t="s">
        <v>12</v>
      </c>
      <c r="P258" t="str">
        <f>IF(Table1[[#This Row],[Unit price]]&gt;2000,"High Price","Standard Price")</f>
        <v>Standard Price</v>
      </c>
    </row>
    <row r="259" spans="1:16" x14ac:dyDescent="0.3">
      <c r="A259" s="3">
        <v>10258</v>
      </c>
      <c r="B259" s="1">
        <v>45935</v>
      </c>
      <c r="C259" s="3" t="s">
        <v>157</v>
      </c>
      <c r="D259" s="3" t="s">
        <v>23</v>
      </c>
      <c r="E259" t="s">
        <v>32</v>
      </c>
      <c r="F259" t="s">
        <v>15</v>
      </c>
      <c r="G259" t="str">
        <f>IF(ISBLANK(Table1[[#This Row],[State]]),"Unknown",Table1[[#This Row],[State]])</f>
        <v>Maharashtra</v>
      </c>
      <c r="H259" t="s">
        <v>33</v>
      </c>
      <c r="I259" t="s">
        <v>49</v>
      </c>
      <c r="J259" t="str">
        <f>IF(ISBLANK(Table1[[#This Row],[Product]]),"Unknown",Table1[[#This Row],[Product]])</f>
        <v>Keyboard</v>
      </c>
      <c r="K259" s="3">
        <v>4</v>
      </c>
      <c r="L259" s="10">
        <v>299</v>
      </c>
      <c r="N259" t="str">
        <f>IF(ISBLANK(Table1[[#This Row],[Payment method]]),"Unknown",Table1[[#This Row],[Payment method]])</f>
        <v>Unknown</v>
      </c>
      <c r="O259" t="s">
        <v>5</v>
      </c>
      <c r="P259" t="str">
        <f>IF(Table1[[#This Row],[Unit price]]&gt;2000,"High Price","Standard Price")</f>
        <v>Standard Price</v>
      </c>
    </row>
    <row r="260" spans="1:16" x14ac:dyDescent="0.3">
      <c r="A260" s="3">
        <v>10259</v>
      </c>
      <c r="B260" s="1">
        <v>45783</v>
      </c>
      <c r="C260" s="3" t="s">
        <v>183</v>
      </c>
      <c r="D260" s="3" t="s">
        <v>57</v>
      </c>
      <c r="E260" t="s">
        <v>45</v>
      </c>
      <c r="F260" t="s">
        <v>54</v>
      </c>
      <c r="G260" t="str">
        <f>IF(ISBLANK(Table1[[#This Row],[State]]),"Unknown",Table1[[#This Row],[State]])</f>
        <v>Uttar Pradesh</v>
      </c>
      <c r="H260" t="s">
        <v>9</v>
      </c>
      <c r="I260" t="s">
        <v>16</v>
      </c>
      <c r="J260" t="str">
        <f>IF(ISBLANK(Table1[[#This Row],[Product]]),"Unknown",Table1[[#This Row],[Product]])</f>
        <v>Lamp</v>
      </c>
      <c r="K260" s="3">
        <v>3</v>
      </c>
      <c r="L260" s="10">
        <v>299</v>
      </c>
      <c r="M260" t="s">
        <v>4</v>
      </c>
      <c r="N260" t="str">
        <f>IF(ISBLANK(Table1[[#This Row],[Payment method]]),"Unknown",Table1[[#This Row],[Payment method]])</f>
        <v>Net Banking</v>
      </c>
      <c r="O260" t="s">
        <v>58</v>
      </c>
      <c r="P260" t="str">
        <f>IF(Table1[[#This Row],[Unit price]]&gt;2000,"High Price","Standard Price")</f>
        <v>Standard Price</v>
      </c>
    </row>
    <row r="261" spans="1:16" x14ac:dyDescent="0.3">
      <c r="A261" s="3">
        <v>10260</v>
      </c>
      <c r="B261" s="1">
        <v>45836</v>
      </c>
      <c r="C261" s="3" t="s">
        <v>140</v>
      </c>
      <c r="D261" s="3" t="s">
        <v>23</v>
      </c>
      <c r="E261" t="s">
        <v>247</v>
      </c>
      <c r="F261" t="s">
        <v>36</v>
      </c>
      <c r="G261" t="str">
        <f>IF(ISBLANK(Table1[[#This Row],[State]]),"Unknown",Table1[[#This Row],[State]])</f>
        <v>Maharastra</v>
      </c>
      <c r="H261" t="s">
        <v>2</v>
      </c>
      <c r="I261" t="s">
        <v>3</v>
      </c>
      <c r="J261" t="str">
        <f>IF(ISBLANK(Table1[[#This Row],[Product]]),"Unknown",Table1[[#This Row],[Product]])</f>
        <v>T-Shirt</v>
      </c>
      <c r="K261" s="3">
        <v>2</v>
      </c>
      <c r="L261" s="10">
        <v>1999</v>
      </c>
      <c r="N261" t="str">
        <f>IF(ISBLANK(Table1[[#This Row],[Payment method]]),"Unknown",Table1[[#This Row],[Payment method]])</f>
        <v>Unknown</v>
      </c>
      <c r="O261" t="s">
        <v>17</v>
      </c>
      <c r="P261" t="str">
        <f>IF(Table1[[#This Row],[Unit price]]&gt;2000,"High Price","Standard Price")</f>
        <v>Standard Price</v>
      </c>
    </row>
    <row r="262" spans="1:16" x14ac:dyDescent="0.3">
      <c r="A262" s="3">
        <v>10261</v>
      </c>
      <c r="B262" s="1">
        <v>45764</v>
      </c>
      <c r="C262" s="3" t="s">
        <v>0</v>
      </c>
      <c r="D262" s="3" t="s">
        <v>14</v>
      </c>
      <c r="E262" t="s">
        <v>35</v>
      </c>
      <c r="F262" t="s">
        <v>15</v>
      </c>
      <c r="G262" t="str">
        <f>IF(ISBLANK(Table1[[#This Row],[State]]),"Unknown",Table1[[#This Row],[State]])</f>
        <v>Maharashtra</v>
      </c>
      <c r="H262" t="s">
        <v>33</v>
      </c>
      <c r="I262" t="s">
        <v>37</v>
      </c>
      <c r="J262" t="str">
        <f>IF(ISBLANK(Table1[[#This Row],[Product]]),"Unknown",Table1[[#This Row],[Product]])</f>
        <v>Mouse</v>
      </c>
      <c r="K262" s="3">
        <v>3</v>
      </c>
      <c r="L262" s="10">
        <v>1299</v>
      </c>
      <c r="M262" t="s">
        <v>26</v>
      </c>
      <c r="N262" t="str">
        <f>IF(ISBLANK(Table1[[#This Row],[Payment method]]),"Unknown",Table1[[#This Row],[Payment method]])</f>
        <v>Card</v>
      </c>
      <c r="O262" t="s">
        <v>5</v>
      </c>
      <c r="P262" t="str">
        <f>IF(Table1[[#This Row],[Unit price]]&gt;2000,"High Price","Standard Price")</f>
        <v>Standard Price</v>
      </c>
    </row>
    <row r="263" spans="1:16" x14ac:dyDescent="0.3">
      <c r="A263" s="3">
        <v>10262</v>
      </c>
      <c r="B263" s="1">
        <v>45744</v>
      </c>
      <c r="C263" s="3" t="s">
        <v>184</v>
      </c>
      <c r="D263" s="3" t="s">
        <v>57</v>
      </c>
      <c r="E263" t="s">
        <v>8</v>
      </c>
      <c r="F263" t="s">
        <v>52</v>
      </c>
      <c r="G263" t="str">
        <f>IF(ISBLANK(Table1[[#This Row],[State]]),"Unknown",Table1[[#This Row],[State]])</f>
        <v>Karnataka</v>
      </c>
      <c r="H263" t="s">
        <v>2</v>
      </c>
      <c r="I263" t="s">
        <v>24</v>
      </c>
      <c r="J263" t="str">
        <f>IF(ISBLANK(Table1[[#This Row],[Product]]),"Unknown",Table1[[#This Row],[Product]])</f>
        <v>Jeans</v>
      </c>
      <c r="K263" s="3">
        <v>4</v>
      </c>
      <c r="L263" s="10">
        <v>1299</v>
      </c>
      <c r="M263" t="s">
        <v>26</v>
      </c>
      <c r="N263" t="str">
        <f>IF(ISBLANK(Table1[[#This Row],[Payment method]]),"Unknown",Table1[[#This Row],[Payment method]])</f>
        <v>Card</v>
      </c>
      <c r="O263" t="s">
        <v>5</v>
      </c>
      <c r="P263" t="str">
        <f>IF(Table1[[#This Row],[Unit price]]&gt;2000,"High Price","Standard Price")</f>
        <v>Standard Price</v>
      </c>
    </row>
    <row r="264" spans="1:16" x14ac:dyDescent="0.3">
      <c r="A264" s="3">
        <v>10263</v>
      </c>
      <c r="B264" s="1">
        <v>45821</v>
      </c>
      <c r="C264" s="3" t="s">
        <v>173</v>
      </c>
      <c r="D264" s="3" t="s">
        <v>1</v>
      </c>
      <c r="E264" t="s">
        <v>248</v>
      </c>
      <c r="F264" t="s">
        <v>52</v>
      </c>
      <c r="G264" t="str">
        <f>IF(ISBLANK(Table1[[#This Row],[State]]),"Unknown",Table1[[#This Row],[State]])</f>
        <v>Karnataka</v>
      </c>
      <c r="H264" t="s">
        <v>33</v>
      </c>
      <c r="I264" t="s">
        <v>49</v>
      </c>
      <c r="J264" t="str">
        <f>IF(ISBLANK(Table1[[#This Row],[Product]]),"Unknown",Table1[[#This Row],[Product]])</f>
        <v>Keyboard</v>
      </c>
      <c r="K264" s="3">
        <v>3</v>
      </c>
      <c r="L264" s="10">
        <v>1999</v>
      </c>
      <c r="M264" t="s">
        <v>26</v>
      </c>
      <c r="N264" t="str">
        <f>IF(ISBLANK(Table1[[#This Row],[Payment method]]),"Unknown",Table1[[#This Row],[Payment method]])</f>
        <v>Card</v>
      </c>
      <c r="O264" t="s">
        <v>17</v>
      </c>
      <c r="P264" t="str">
        <f>IF(Table1[[#This Row],[Unit price]]&gt;2000,"High Price","Standard Price")</f>
        <v>Standard Price</v>
      </c>
    </row>
    <row r="265" spans="1:16" x14ac:dyDescent="0.3">
      <c r="A265" s="3">
        <v>10264</v>
      </c>
      <c r="B265" s="1">
        <v>45700</v>
      </c>
      <c r="C265" s="3" t="s">
        <v>185</v>
      </c>
      <c r="D265" s="3" t="s">
        <v>7</v>
      </c>
      <c r="E265" t="s">
        <v>20</v>
      </c>
      <c r="F265" t="s">
        <v>20</v>
      </c>
      <c r="G265" t="str">
        <f>IF(ISBLANK(Table1[[#This Row],[State]]),"Unknown",Table1[[#This Row],[State]])</f>
        <v>Delhi</v>
      </c>
      <c r="H265" t="s">
        <v>2</v>
      </c>
      <c r="I265" t="s">
        <v>3</v>
      </c>
      <c r="J265" t="str">
        <f>IF(ISBLANK(Table1[[#This Row],[Product]]),"Unknown",Table1[[#This Row],[Product]])</f>
        <v>T-Shirt</v>
      </c>
      <c r="K265" s="3">
        <v>4</v>
      </c>
      <c r="L265" s="10">
        <v>499</v>
      </c>
      <c r="N265" t="str">
        <f>IF(ISBLANK(Table1[[#This Row],[Payment method]]),"Unknown",Table1[[#This Row],[Payment method]])</f>
        <v>Unknown</v>
      </c>
      <c r="O265" t="s">
        <v>5</v>
      </c>
      <c r="P265" t="str">
        <f>IF(Table1[[#This Row],[Unit price]]&gt;2000,"High Price","Standard Price")</f>
        <v>Standard Price</v>
      </c>
    </row>
    <row r="266" spans="1:16" x14ac:dyDescent="0.3">
      <c r="A266" s="3">
        <v>10265</v>
      </c>
      <c r="B266" s="1">
        <v>45662</v>
      </c>
      <c r="C266" s="3" t="s">
        <v>186</v>
      </c>
      <c r="D266" s="3" t="s">
        <v>19</v>
      </c>
      <c r="E266" t="s">
        <v>32</v>
      </c>
      <c r="F266" t="s">
        <v>36</v>
      </c>
      <c r="G266" t="str">
        <f>IF(ISBLANK(Table1[[#This Row],[State]]),"Unknown",Table1[[#This Row],[State]])</f>
        <v>Maharastra</v>
      </c>
      <c r="H266" t="s">
        <v>2</v>
      </c>
      <c r="I266" t="s">
        <v>3</v>
      </c>
      <c r="J266" t="str">
        <f>IF(ISBLANK(Table1[[#This Row],[Product]]),"Unknown",Table1[[#This Row],[Product]])</f>
        <v>T-Shirt</v>
      </c>
      <c r="K266" s="3">
        <v>5</v>
      </c>
      <c r="L266" s="10">
        <v>499</v>
      </c>
      <c r="N266" t="str">
        <f>IF(ISBLANK(Table1[[#This Row],[Payment method]]),"Unknown",Table1[[#This Row],[Payment method]])</f>
        <v>Unknown</v>
      </c>
      <c r="O266" t="s">
        <v>12</v>
      </c>
      <c r="P266" t="str">
        <f>IF(Table1[[#This Row],[Unit price]]&gt;2000,"High Price","Standard Price")</f>
        <v>Standard Price</v>
      </c>
    </row>
    <row r="267" spans="1:16" x14ac:dyDescent="0.3">
      <c r="A267" s="3">
        <v>10266</v>
      </c>
      <c r="B267" s="1">
        <v>45836</v>
      </c>
      <c r="C267" s="3" t="s">
        <v>166</v>
      </c>
      <c r="D267" s="3" t="s">
        <v>19</v>
      </c>
      <c r="E267" t="s">
        <v>45</v>
      </c>
      <c r="F267" t="s">
        <v>54</v>
      </c>
      <c r="G267" t="str">
        <f>IF(ISBLANK(Table1[[#This Row],[State]]),"Unknown",Table1[[#This Row],[State]])</f>
        <v>Uttar Pradesh</v>
      </c>
      <c r="H267" t="s">
        <v>33</v>
      </c>
      <c r="I267" t="s">
        <v>21</v>
      </c>
      <c r="J267" t="str">
        <f>IF(ISBLANK(Table1[[#This Row],[Product]]),"Unknown",Table1[[#This Row],[Product]])</f>
        <v>Headphones</v>
      </c>
      <c r="K267" s="3">
        <v>1</v>
      </c>
      <c r="L267" s="10">
        <v>799</v>
      </c>
      <c r="M267" t="s">
        <v>26</v>
      </c>
      <c r="N267" t="str">
        <f>IF(ISBLANK(Table1[[#This Row],[Payment method]]),"Unknown",Table1[[#This Row],[Payment method]])</f>
        <v>Card</v>
      </c>
      <c r="O267" t="s">
        <v>17</v>
      </c>
      <c r="P267" t="str">
        <f>IF(Table1[[#This Row],[Unit price]]&gt;2000,"High Price","Standard Price")</f>
        <v>Standard Price</v>
      </c>
    </row>
    <row r="268" spans="1:16" x14ac:dyDescent="0.3">
      <c r="A268" s="3">
        <v>10267</v>
      </c>
      <c r="B268" s="1">
        <v>45702</v>
      </c>
      <c r="C268" s="3" t="s">
        <v>42</v>
      </c>
      <c r="D268" s="3" t="s">
        <v>23</v>
      </c>
      <c r="E268" t="s">
        <v>20</v>
      </c>
      <c r="F268" t="s">
        <v>20</v>
      </c>
      <c r="G268" t="str">
        <f>IF(ISBLANK(Table1[[#This Row],[State]]),"Unknown",Table1[[#This Row],[State]])</f>
        <v>Delhi</v>
      </c>
      <c r="H268" t="s">
        <v>2</v>
      </c>
      <c r="I268" t="s">
        <v>24</v>
      </c>
      <c r="J268" t="str">
        <f>IF(ISBLANK(Table1[[#This Row],[Product]]),"Unknown",Table1[[#This Row],[Product]])</f>
        <v>Jeans</v>
      </c>
      <c r="K268" s="3">
        <v>3</v>
      </c>
      <c r="L268" s="10">
        <v>799</v>
      </c>
      <c r="N268" t="str">
        <f>IF(ISBLANK(Table1[[#This Row],[Payment method]]),"Unknown",Table1[[#This Row],[Payment method]])</f>
        <v>Unknown</v>
      </c>
      <c r="O268" t="s">
        <v>58</v>
      </c>
      <c r="P268" t="str">
        <f>IF(Table1[[#This Row],[Unit price]]&gt;2000,"High Price","Standard Price")</f>
        <v>Standard Price</v>
      </c>
    </row>
    <row r="269" spans="1:16" x14ac:dyDescent="0.3">
      <c r="A269" s="3">
        <v>10268</v>
      </c>
      <c r="B269" s="1">
        <v>45795</v>
      </c>
      <c r="C269" s="3" t="s">
        <v>187</v>
      </c>
      <c r="D269" s="3" t="s">
        <v>57</v>
      </c>
      <c r="E269" t="s">
        <v>20</v>
      </c>
      <c r="F269" t="s">
        <v>20</v>
      </c>
      <c r="G269" t="str">
        <f>IF(ISBLANK(Table1[[#This Row],[State]]),"Unknown",Table1[[#This Row],[State]])</f>
        <v>Delhi</v>
      </c>
      <c r="H269" t="s">
        <v>2</v>
      </c>
      <c r="I269" t="s">
        <v>24</v>
      </c>
      <c r="J269" t="str">
        <f>IF(ISBLANK(Table1[[#This Row],[Product]]),"Unknown",Table1[[#This Row],[Product]])</f>
        <v>Jeans</v>
      </c>
      <c r="K269" s="3">
        <v>3</v>
      </c>
      <c r="L269" s="10">
        <v>799</v>
      </c>
      <c r="M269" t="s">
        <v>11</v>
      </c>
      <c r="N269" t="str">
        <f>IF(ISBLANK(Table1[[#This Row],[Payment method]]),"Unknown",Table1[[#This Row],[Payment method]])</f>
        <v>Cash on Delivery</v>
      </c>
      <c r="O269" t="s">
        <v>5</v>
      </c>
      <c r="P269" t="str">
        <f>IF(Table1[[#This Row],[Unit price]]&gt;2000,"High Price","Standard Price")</f>
        <v>Standard Price</v>
      </c>
    </row>
    <row r="270" spans="1:16" x14ac:dyDescent="0.3">
      <c r="A270" s="3">
        <v>10269</v>
      </c>
      <c r="B270" s="1">
        <v>45834</v>
      </c>
      <c r="C270" s="3" t="s">
        <v>34</v>
      </c>
      <c r="D270" s="3" t="s">
        <v>23</v>
      </c>
      <c r="E270" t="s">
        <v>45</v>
      </c>
      <c r="F270" t="s">
        <v>54</v>
      </c>
      <c r="G270" t="str">
        <f>IF(ISBLANK(Table1[[#This Row],[State]]),"Unknown",Table1[[#This Row],[State]])</f>
        <v>Uttar Pradesh</v>
      </c>
      <c r="H270" t="s">
        <v>9</v>
      </c>
      <c r="I270" t="s">
        <v>10</v>
      </c>
      <c r="J270" t="str">
        <f>IF(ISBLANK(Table1[[#This Row],[Product]]),"Unknown",Table1[[#This Row],[Product]])</f>
        <v>Chair</v>
      </c>
      <c r="K270" s="3">
        <v>4</v>
      </c>
      <c r="L270" s="10">
        <v>499</v>
      </c>
      <c r="M270" t="s">
        <v>26</v>
      </c>
      <c r="N270" t="str">
        <f>IF(ISBLANK(Table1[[#This Row],[Payment method]]),"Unknown",Table1[[#This Row],[Payment method]])</f>
        <v>Card</v>
      </c>
      <c r="O270" t="s">
        <v>5</v>
      </c>
      <c r="P270" t="str">
        <f>IF(Table1[[#This Row],[Unit price]]&gt;2000,"High Price","Standard Price")</f>
        <v>Standard Price</v>
      </c>
    </row>
    <row r="271" spans="1:16" x14ac:dyDescent="0.3">
      <c r="A271" s="3">
        <v>10270</v>
      </c>
      <c r="B271" s="1">
        <v>45674</v>
      </c>
      <c r="C271" s="3" t="s">
        <v>179</v>
      </c>
      <c r="D271" s="3" t="s">
        <v>19</v>
      </c>
      <c r="E271" t="s">
        <v>249</v>
      </c>
      <c r="F271" t="s">
        <v>15</v>
      </c>
      <c r="G271" t="str">
        <f>IF(ISBLANK(Table1[[#This Row],[State]]),"Unknown",Table1[[#This Row],[State]])</f>
        <v>Maharashtra</v>
      </c>
      <c r="H271" t="s">
        <v>2</v>
      </c>
      <c r="I271" t="s">
        <v>3</v>
      </c>
      <c r="J271" t="str">
        <f>IF(ISBLANK(Table1[[#This Row],[Product]]),"Unknown",Table1[[#This Row],[Product]])</f>
        <v>T-Shirt</v>
      </c>
      <c r="K271" s="3">
        <v>5</v>
      </c>
      <c r="L271" s="10">
        <v>299</v>
      </c>
      <c r="M271" t="s">
        <v>4</v>
      </c>
      <c r="N271" t="str">
        <f>IF(ISBLANK(Table1[[#This Row],[Payment method]]),"Unknown",Table1[[#This Row],[Payment method]])</f>
        <v>Net Banking</v>
      </c>
      <c r="O271" t="s">
        <v>17</v>
      </c>
      <c r="P271" t="str">
        <f>IF(Table1[[#This Row],[Unit price]]&gt;2000,"High Price","Standard Price")</f>
        <v>Standard Price</v>
      </c>
    </row>
    <row r="272" spans="1:16" x14ac:dyDescent="0.3">
      <c r="A272" s="3">
        <v>10271</v>
      </c>
      <c r="B272" s="1">
        <v>45672</v>
      </c>
      <c r="C272" s="3" t="s">
        <v>97</v>
      </c>
      <c r="D272" s="3" t="s">
        <v>57</v>
      </c>
      <c r="E272" t="s">
        <v>45</v>
      </c>
      <c r="F272" t="s">
        <v>54</v>
      </c>
      <c r="G272" t="str">
        <f>IF(ISBLANK(Table1[[#This Row],[State]]),"Unknown",Table1[[#This Row],[State]])</f>
        <v>Uttar Pradesh</v>
      </c>
      <c r="H272" t="s">
        <v>9</v>
      </c>
      <c r="I272" t="s">
        <v>10</v>
      </c>
      <c r="J272" t="str">
        <f>IF(ISBLANK(Table1[[#This Row],[Product]]),"Unknown",Table1[[#This Row],[Product]])</f>
        <v>Chair</v>
      </c>
      <c r="K272" s="3">
        <v>3</v>
      </c>
      <c r="L272" s="10">
        <v>799</v>
      </c>
      <c r="M272" t="s">
        <v>26</v>
      </c>
      <c r="N272" t="str">
        <f>IF(ISBLANK(Table1[[#This Row],[Payment method]]),"Unknown",Table1[[#This Row],[Payment method]])</f>
        <v>Card</v>
      </c>
      <c r="O272" t="s">
        <v>12</v>
      </c>
      <c r="P272" t="str">
        <f>IF(Table1[[#This Row],[Unit price]]&gt;2000,"High Price","Standard Price")</f>
        <v>Standard Price</v>
      </c>
    </row>
    <row r="273" spans="1:16" x14ac:dyDescent="0.3">
      <c r="A273" s="3">
        <v>10272</v>
      </c>
      <c r="B273" s="1">
        <v>45715</v>
      </c>
      <c r="C273" s="3" t="s">
        <v>116</v>
      </c>
      <c r="D273" s="3" t="s">
        <v>14</v>
      </c>
      <c r="E273" t="s">
        <v>247</v>
      </c>
      <c r="F273" t="s">
        <v>15</v>
      </c>
      <c r="G273" t="str">
        <f>IF(ISBLANK(Table1[[#This Row],[State]]),"Unknown",Table1[[#This Row],[State]])</f>
        <v>Maharashtra</v>
      </c>
      <c r="H273" t="s">
        <v>33</v>
      </c>
      <c r="I273" t="s">
        <v>49</v>
      </c>
      <c r="J273" t="str">
        <f>IF(ISBLANK(Table1[[#This Row],[Product]]),"Unknown",Table1[[#This Row],[Product]])</f>
        <v>Keyboard</v>
      </c>
      <c r="K273" s="3">
        <v>3</v>
      </c>
      <c r="L273" s="10">
        <v>1299</v>
      </c>
      <c r="N273" t="str">
        <f>IF(ISBLANK(Table1[[#This Row],[Payment method]]),"Unknown",Table1[[#This Row],[Payment method]])</f>
        <v>Unknown</v>
      </c>
      <c r="O273" t="s">
        <v>5</v>
      </c>
      <c r="P273" t="str">
        <f>IF(Table1[[#This Row],[Unit price]]&gt;2000,"High Price","Standard Price")</f>
        <v>Standard Price</v>
      </c>
    </row>
    <row r="274" spans="1:16" x14ac:dyDescent="0.3">
      <c r="A274" s="3">
        <v>10273</v>
      </c>
      <c r="B274" s="1">
        <v>45727</v>
      </c>
      <c r="C274" s="3" t="s">
        <v>183</v>
      </c>
      <c r="D274" s="3" t="s">
        <v>39</v>
      </c>
      <c r="E274" t="s">
        <v>45</v>
      </c>
      <c r="F274" t="s">
        <v>54</v>
      </c>
      <c r="G274" t="str">
        <f>IF(ISBLANK(Table1[[#This Row],[State]]),"Unknown",Table1[[#This Row],[State]])</f>
        <v>Uttar Pradesh</v>
      </c>
      <c r="H274" t="s">
        <v>9</v>
      </c>
      <c r="I274" t="s">
        <v>10</v>
      </c>
      <c r="J274" t="str">
        <f>IF(ISBLANK(Table1[[#This Row],[Product]]),"Unknown",Table1[[#This Row],[Product]])</f>
        <v>Chair</v>
      </c>
      <c r="K274" s="3">
        <v>4</v>
      </c>
      <c r="L274" s="10">
        <v>1999</v>
      </c>
      <c r="M274" t="s">
        <v>4</v>
      </c>
      <c r="N274" t="str">
        <f>IF(ISBLANK(Table1[[#This Row],[Payment method]]),"Unknown",Table1[[#This Row],[Payment method]])</f>
        <v>Net Banking</v>
      </c>
      <c r="O274" t="s">
        <v>5</v>
      </c>
      <c r="P274" t="str">
        <f>IF(Table1[[#This Row],[Unit price]]&gt;2000,"High Price","Standard Price")</f>
        <v>Standard Price</v>
      </c>
    </row>
    <row r="275" spans="1:16" x14ac:dyDescent="0.3">
      <c r="A275" s="3">
        <v>10274</v>
      </c>
      <c r="B275" s="1">
        <v>45691</v>
      </c>
      <c r="C275" s="3" t="s">
        <v>188</v>
      </c>
      <c r="D275" s="3" t="s">
        <v>57</v>
      </c>
      <c r="E275" t="s">
        <v>35</v>
      </c>
      <c r="F275" t="s">
        <v>36</v>
      </c>
      <c r="G275" t="str">
        <f>IF(ISBLANK(Table1[[#This Row],[State]]),"Unknown",Table1[[#This Row],[State]])</f>
        <v>Maharastra</v>
      </c>
      <c r="H275" t="s">
        <v>2</v>
      </c>
      <c r="I275" t="s">
        <v>24</v>
      </c>
      <c r="J275" t="str">
        <f>IF(ISBLANK(Table1[[#This Row],[Product]]),"Unknown",Table1[[#This Row],[Product]])</f>
        <v>Jeans</v>
      </c>
      <c r="K275" s="3">
        <v>4</v>
      </c>
      <c r="L275" s="10">
        <v>1299</v>
      </c>
      <c r="M275" t="s">
        <v>4</v>
      </c>
      <c r="N275" t="str">
        <f>IF(ISBLANK(Table1[[#This Row],[Payment method]]),"Unknown",Table1[[#This Row],[Payment method]])</f>
        <v>Net Banking</v>
      </c>
      <c r="O275" t="s">
        <v>12</v>
      </c>
      <c r="P275" t="str">
        <f>IF(Table1[[#This Row],[Unit price]]&gt;2000,"High Price","Standard Price")</f>
        <v>Standard Price</v>
      </c>
    </row>
    <row r="276" spans="1:16" x14ac:dyDescent="0.3">
      <c r="A276" s="3">
        <v>10275</v>
      </c>
      <c r="B276" s="1">
        <v>45681</v>
      </c>
      <c r="C276" s="3" t="s">
        <v>51</v>
      </c>
      <c r="D276" s="3" t="s">
        <v>57</v>
      </c>
      <c r="E276" t="s">
        <v>247</v>
      </c>
      <c r="F276" t="s">
        <v>15</v>
      </c>
      <c r="G276" t="str">
        <f>IF(ISBLANK(Table1[[#This Row],[State]]),"Unknown",Table1[[#This Row],[State]])</f>
        <v>Maharashtra</v>
      </c>
      <c r="H276" t="s">
        <v>9</v>
      </c>
      <c r="I276" t="s">
        <v>16</v>
      </c>
      <c r="J276" t="str">
        <f>IF(ISBLANK(Table1[[#This Row],[Product]]),"Unknown",Table1[[#This Row],[Product]])</f>
        <v>Lamp</v>
      </c>
      <c r="K276" s="3">
        <v>5</v>
      </c>
      <c r="L276" s="10">
        <v>499</v>
      </c>
      <c r="N276" t="str">
        <f>IF(ISBLANK(Table1[[#This Row],[Payment method]]),"Unknown",Table1[[#This Row],[Payment method]])</f>
        <v>Unknown</v>
      </c>
      <c r="O276" t="s">
        <v>5</v>
      </c>
      <c r="P276" t="str">
        <f>IF(Table1[[#This Row],[Unit price]]&gt;2000,"High Price","Standard Price")</f>
        <v>Standard Price</v>
      </c>
    </row>
    <row r="277" spans="1:16" x14ac:dyDescent="0.3">
      <c r="A277" s="3">
        <v>10276</v>
      </c>
      <c r="B277" s="1">
        <v>45722</v>
      </c>
      <c r="C277" s="3" t="s">
        <v>189</v>
      </c>
      <c r="D277" s="3" t="s">
        <v>7</v>
      </c>
      <c r="E277" t="s">
        <v>45</v>
      </c>
      <c r="F277" t="s">
        <v>54</v>
      </c>
      <c r="G277" t="str">
        <f>IF(ISBLANK(Table1[[#This Row],[State]]),"Unknown",Table1[[#This Row],[State]])</f>
        <v>Uttar Pradesh</v>
      </c>
      <c r="H277" t="s">
        <v>33</v>
      </c>
      <c r="I277" t="s">
        <v>49</v>
      </c>
      <c r="J277" t="str">
        <f>IF(ISBLANK(Table1[[#This Row],[Product]]),"Unknown",Table1[[#This Row],[Product]])</f>
        <v>Keyboard</v>
      </c>
      <c r="K277" s="3">
        <v>4</v>
      </c>
      <c r="L277" s="10">
        <v>799</v>
      </c>
      <c r="N277" t="str">
        <f>IF(ISBLANK(Table1[[#This Row],[Payment method]]),"Unknown",Table1[[#This Row],[Payment method]])</f>
        <v>Unknown</v>
      </c>
      <c r="O277" t="s">
        <v>58</v>
      </c>
      <c r="P277" t="str">
        <f>IF(Table1[[#This Row],[Unit price]]&gt;2000,"High Price","Standard Price")</f>
        <v>Standard Price</v>
      </c>
    </row>
    <row r="278" spans="1:16" x14ac:dyDescent="0.3">
      <c r="A278" s="3">
        <v>10277</v>
      </c>
      <c r="B278" s="1">
        <v>45820</v>
      </c>
      <c r="C278" s="3" t="s">
        <v>117</v>
      </c>
      <c r="D278" s="3" t="s">
        <v>1</v>
      </c>
      <c r="E278" t="s">
        <v>32</v>
      </c>
      <c r="F278" t="s">
        <v>15</v>
      </c>
      <c r="G278" t="str">
        <f>IF(ISBLANK(Table1[[#This Row],[State]]),"Unknown",Table1[[#This Row],[State]])</f>
        <v>Maharashtra</v>
      </c>
      <c r="H278" t="s">
        <v>2</v>
      </c>
      <c r="I278" t="s">
        <v>24</v>
      </c>
      <c r="J278" t="str">
        <f>IF(ISBLANK(Table1[[#This Row],[Product]]),"Unknown",Table1[[#This Row],[Product]])</f>
        <v>Jeans</v>
      </c>
      <c r="K278" s="3">
        <v>2</v>
      </c>
      <c r="L278" s="10">
        <v>799</v>
      </c>
      <c r="N278" t="str">
        <f>IF(ISBLANK(Table1[[#This Row],[Payment method]]),"Unknown",Table1[[#This Row],[Payment method]])</f>
        <v>Unknown</v>
      </c>
      <c r="O278" t="s">
        <v>12</v>
      </c>
      <c r="P278" t="str">
        <f>IF(Table1[[#This Row],[Unit price]]&gt;2000,"High Price","Standard Price")</f>
        <v>Standard Price</v>
      </c>
    </row>
    <row r="279" spans="1:16" x14ac:dyDescent="0.3">
      <c r="A279" s="3">
        <v>10278</v>
      </c>
      <c r="B279" s="1">
        <v>45731</v>
      </c>
      <c r="C279" s="3" t="s">
        <v>190</v>
      </c>
      <c r="D279" s="3" t="s">
        <v>57</v>
      </c>
      <c r="E279" t="s">
        <v>35</v>
      </c>
      <c r="F279" t="s">
        <v>15</v>
      </c>
      <c r="G279" t="str">
        <f>IF(ISBLANK(Table1[[#This Row],[State]]),"Unknown",Table1[[#This Row],[State]])</f>
        <v>Maharashtra</v>
      </c>
      <c r="H279" t="s">
        <v>33</v>
      </c>
      <c r="I279" t="s">
        <v>21</v>
      </c>
      <c r="J279" t="str">
        <f>IF(ISBLANK(Table1[[#This Row],[Product]]),"Unknown",Table1[[#This Row],[Product]])</f>
        <v>Headphones</v>
      </c>
      <c r="K279" s="3">
        <v>2</v>
      </c>
      <c r="L279" s="10">
        <v>799</v>
      </c>
      <c r="M279" t="s">
        <v>11</v>
      </c>
      <c r="N279" t="str">
        <f>IF(ISBLANK(Table1[[#This Row],[Payment method]]),"Unknown",Table1[[#This Row],[Payment method]])</f>
        <v>Cash on Delivery</v>
      </c>
      <c r="O279" t="s">
        <v>58</v>
      </c>
      <c r="P279" t="str">
        <f>IF(Table1[[#This Row],[Unit price]]&gt;2000,"High Price","Standard Price")</f>
        <v>Standard Price</v>
      </c>
    </row>
    <row r="280" spans="1:16" x14ac:dyDescent="0.3">
      <c r="A280" s="3">
        <v>10279</v>
      </c>
      <c r="B280" s="1">
        <v>45687</v>
      </c>
      <c r="C280" s="3" t="s">
        <v>104</v>
      </c>
      <c r="D280" s="3" t="s">
        <v>14</v>
      </c>
      <c r="E280" t="s">
        <v>35</v>
      </c>
      <c r="F280" t="s">
        <v>15</v>
      </c>
      <c r="G280" t="str">
        <f>IF(ISBLANK(Table1[[#This Row],[State]]),"Unknown",Table1[[#This Row],[State]])</f>
        <v>Maharashtra</v>
      </c>
      <c r="H280" t="s">
        <v>33</v>
      </c>
      <c r="I280" t="s">
        <v>21</v>
      </c>
      <c r="J280" t="str">
        <f>IF(ISBLANK(Table1[[#This Row],[Product]]),"Unknown",Table1[[#This Row],[Product]])</f>
        <v>Headphones</v>
      </c>
      <c r="K280" s="3">
        <v>4</v>
      </c>
      <c r="L280" s="10">
        <v>1999</v>
      </c>
      <c r="M280" t="s">
        <v>11</v>
      </c>
      <c r="N280" t="str">
        <f>IF(ISBLANK(Table1[[#This Row],[Payment method]]),"Unknown",Table1[[#This Row],[Payment method]])</f>
        <v>Cash on Delivery</v>
      </c>
      <c r="O280" t="s">
        <v>12</v>
      </c>
      <c r="P280" t="str">
        <f>IF(Table1[[#This Row],[Unit price]]&gt;2000,"High Price","Standard Price")</f>
        <v>Standard Price</v>
      </c>
    </row>
    <row r="281" spans="1:16" x14ac:dyDescent="0.3">
      <c r="A281" s="3">
        <v>10280</v>
      </c>
      <c r="B281" s="1">
        <v>45992</v>
      </c>
      <c r="C281" s="3" t="s">
        <v>53</v>
      </c>
      <c r="D281" s="3" t="s">
        <v>57</v>
      </c>
      <c r="E281" t="s">
        <v>248</v>
      </c>
      <c r="F281" t="s">
        <v>52</v>
      </c>
      <c r="G281" t="str">
        <f>IF(ISBLANK(Table1[[#This Row],[State]]),"Unknown",Table1[[#This Row],[State]])</f>
        <v>Karnataka</v>
      </c>
      <c r="H281" t="s">
        <v>9</v>
      </c>
      <c r="I281" t="s">
        <v>16</v>
      </c>
      <c r="J281" t="str">
        <f>IF(ISBLANK(Table1[[#This Row],[Product]]),"Unknown",Table1[[#This Row],[Product]])</f>
        <v>Lamp</v>
      </c>
      <c r="K281" s="3">
        <v>5</v>
      </c>
      <c r="L281" s="10">
        <v>299</v>
      </c>
      <c r="M281" t="s">
        <v>11</v>
      </c>
      <c r="N281" t="str">
        <f>IF(ISBLANK(Table1[[#This Row],[Payment method]]),"Unknown",Table1[[#This Row],[Payment method]])</f>
        <v>Cash on Delivery</v>
      </c>
      <c r="O281" t="s">
        <v>17</v>
      </c>
      <c r="P281" t="str">
        <f>IF(Table1[[#This Row],[Unit price]]&gt;2000,"High Price","Standard Price")</f>
        <v>Standard Price</v>
      </c>
    </row>
    <row r="282" spans="1:16" x14ac:dyDescent="0.3">
      <c r="A282" s="3">
        <v>10281</v>
      </c>
      <c r="B282" s="1">
        <v>45754</v>
      </c>
      <c r="C282" s="3" t="s">
        <v>28</v>
      </c>
      <c r="D282" s="3" t="s">
        <v>7</v>
      </c>
      <c r="E282" t="s">
        <v>8</v>
      </c>
      <c r="F282" t="s">
        <v>52</v>
      </c>
      <c r="G282" t="str">
        <f>IF(ISBLANK(Table1[[#This Row],[State]]),"Unknown",Table1[[#This Row],[State]])</f>
        <v>Karnataka</v>
      </c>
      <c r="H282" t="s">
        <v>9</v>
      </c>
      <c r="I282" t="s">
        <v>16</v>
      </c>
      <c r="J282" t="str">
        <f>IF(ISBLANK(Table1[[#This Row],[Product]]),"Unknown",Table1[[#This Row],[Product]])</f>
        <v>Lamp</v>
      </c>
      <c r="K282" s="3">
        <v>5</v>
      </c>
      <c r="L282" s="10">
        <v>799</v>
      </c>
      <c r="N282" t="str">
        <f>IF(ISBLANK(Table1[[#This Row],[Payment method]]),"Unknown",Table1[[#This Row],[Payment method]])</f>
        <v>Unknown</v>
      </c>
      <c r="O282" t="s">
        <v>5</v>
      </c>
      <c r="P282" t="str">
        <f>IF(Table1[[#This Row],[Unit price]]&gt;2000,"High Price","Standard Price")</f>
        <v>Standard Price</v>
      </c>
    </row>
    <row r="283" spans="1:16" x14ac:dyDescent="0.3">
      <c r="A283" s="3">
        <v>10282</v>
      </c>
      <c r="B283" s="1">
        <v>45811</v>
      </c>
      <c r="C283" s="3" t="s">
        <v>116</v>
      </c>
      <c r="D283" s="3" t="s">
        <v>39</v>
      </c>
      <c r="E283" t="s">
        <v>20</v>
      </c>
      <c r="F283" t="s">
        <v>20</v>
      </c>
      <c r="G283" t="str">
        <f>IF(ISBLANK(Table1[[#This Row],[State]]),"Unknown",Table1[[#This Row],[State]])</f>
        <v>Delhi</v>
      </c>
      <c r="H283" t="s">
        <v>2</v>
      </c>
      <c r="I283" t="s">
        <v>24</v>
      </c>
      <c r="J283" t="str">
        <f>IF(ISBLANK(Table1[[#This Row],[Product]]),"Unknown",Table1[[#This Row],[Product]])</f>
        <v>Jeans</v>
      </c>
      <c r="K283" s="3">
        <v>5</v>
      </c>
      <c r="L283" s="10">
        <v>299</v>
      </c>
      <c r="M283" t="s">
        <v>4</v>
      </c>
      <c r="N283" t="str">
        <f>IF(ISBLANK(Table1[[#This Row],[Payment method]]),"Unknown",Table1[[#This Row],[Payment method]])</f>
        <v>Net Banking</v>
      </c>
      <c r="O283" t="s">
        <v>17</v>
      </c>
      <c r="P283" t="str">
        <f>IF(Table1[[#This Row],[Unit price]]&gt;2000,"High Price","Standard Price")</f>
        <v>Standard Price</v>
      </c>
    </row>
    <row r="284" spans="1:16" x14ac:dyDescent="0.3">
      <c r="A284" s="3">
        <v>10283</v>
      </c>
      <c r="B284" s="1">
        <v>45811</v>
      </c>
      <c r="C284" s="3" t="s">
        <v>191</v>
      </c>
      <c r="D284" s="3" t="s">
        <v>7</v>
      </c>
      <c r="E284" t="s">
        <v>45</v>
      </c>
      <c r="F284" t="s">
        <v>54</v>
      </c>
      <c r="G284" t="str">
        <f>IF(ISBLANK(Table1[[#This Row],[State]]),"Unknown",Table1[[#This Row],[State]])</f>
        <v>Uttar Pradesh</v>
      </c>
      <c r="H284" t="s">
        <v>2</v>
      </c>
      <c r="I284" t="s">
        <v>3</v>
      </c>
      <c r="J284" t="str">
        <f>IF(ISBLANK(Table1[[#This Row],[Product]]),"Unknown",Table1[[#This Row],[Product]])</f>
        <v>T-Shirt</v>
      </c>
      <c r="K284" s="3">
        <v>4</v>
      </c>
      <c r="L284" s="10">
        <v>499</v>
      </c>
      <c r="M284" t="s">
        <v>11</v>
      </c>
      <c r="N284" t="str">
        <f>IF(ISBLANK(Table1[[#This Row],[Payment method]]),"Unknown",Table1[[#This Row],[Payment method]])</f>
        <v>Cash on Delivery</v>
      </c>
      <c r="O284" t="s">
        <v>17</v>
      </c>
      <c r="P284" t="str">
        <f>IF(Table1[[#This Row],[Unit price]]&gt;2000,"High Price","Standard Price")</f>
        <v>Standard Price</v>
      </c>
    </row>
    <row r="285" spans="1:16" x14ac:dyDescent="0.3">
      <c r="A285" s="3">
        <v>10284</v>
      </c>
      <c r="B285" s="1">
        <v>45730</v>
      </c>
      <c r="C285" s="3" t="s">
        <v>192</v>
      </c>
      <c r="D285" s="3" t="s">
        <v>23</v>
      </c>
      <c r="E285" t="s">
        <v>8</v>
      </c>
      <c r="F285" t="s">
        <v>52</v>
      </c>
      <c r="G285" t="str">
        <f>IF(ISBLANK(Table1[[#This Row],[State]]),"Unknown",Table1[[#This Row],[State]])</f>
        <v>Karnataka</v>
      </c>
      <c r="H285" t="s">
        <v>33</v>
      </c>
      <c r="I285" t="s">
        <v>49</v>
      </c>
      <c r="J285" t="str">
        <f>IF(ISBLANK(Table1[[#This Row],[Product]]),"Unknown",Table1[[#This Row],[Product]])</f>
        <v>Keyboard</v>
      </c>
      <c r="K285" s="3">
        <v>5</v>
      </c>
      <c r="L285" s="10">
        <v>799</v>
      </c>
      <c r="M285" t="s">
        <v>11</v>
      </c>
      <c r="N285" t="str">
        <f>IF(ISBLANK(Table1[[#This Row],[Payment method]]),"Unknown",Table1[[#This Row],[Payment method]])</f>
        <v>Cash on Delivery</v>
      </c>
      <c r="O285" t="s">
        <v>5</v>
      </c>
      <c r="P285" t="str">
        <f>IF(Table1[[#This Row],[Unit price]]&gt;2000,"High Price","Standard Price")</f>
        <v>Standard Price</v>
      </c>
    </row>
    <row r="286" spans="1:16" x14ac:dyDescent="0.3">
      <c r="A286" s="3">
        <v>10285</v>
      </c>
      <c r="B286" s="1">
        <v>45871</v>
      </c>
      <c r="C286" s="3" t="s">
        <v>101</v>
      </c>
      <c r="D286" s="3" t="s">
        <v>39</v>
      </c>
      <c r="E286" t="s">
        <v>247</v>
      </c>
      <c r="F286" t="s">
        <v>36</v>
      </c>
      <c r="G286" t="str">
        <f>IF(ISBLANK(Table1[[#This Row],[State]]),"Unknown",Table1[[#This Row],[State]])</f>
        <v>Maharastra</v>
      </c>
      <c r="H286" t="s">
        <v>9</v>
      </c>
      <c r="I286" t="s">
        <v>16</v>
      </c>
      <c r="J286" t="str">
        <f>IF(ISBLANK(Table1[[#This Row],[Product]]),"Unknown",Table1[[#This Row],[Product]])</f>
        <v>Lamp</v>
      </c>
      <c r="K286" s="3">
        <v>1</v>
      </c>
      <c r="L286" s="10">
        <v>1299</v>
      </c>
      <c r="M286" t="s">
        <v>26</v>
      </c>
      <c r="N286" t="str">
        <f>IF(ISBLANK(Table1[[#This Row],[Payment method]]),"Unknown",Table1[[#This Row],[Payment method]])</f>
        <v>Card</v>
      </c>
      <c r="O286" t="s">
        <v>5</v>
      </c>
      <c r="P286" t="str">
        <f>IF(Table1[[#This Row],[Unit price]]&gt;2000,"High Price","Standard Price")</f>
        <v>Standard Price</v>
      </c>
    </row>
    <row r="287" spans="1:16" x14ac:dyDescent="0.3">
      <c r="A287" s="3">
        <v>10286</v>
      </c>
      <c r="B287" s="1">
        <v>45828</v>
      </c>
      <c r="C287" s="3" t="s">
        <v>151</v>
      </c>
      <c r="D287" s="3" t="s">
        <v>23</v>
      </c>
      <c r="E287" t="s">
        <v>32</v>
      </c>
      <c r="F287" t="s">
        <v>15</v>
      </c>
      <c r="G287" t="str">
        <f>IF(ISBLANK(Table1[[#This Row],[State]]),"Unknown",Table1[[#This Row],[State]])</f>
        <v>Maharashtra</v>
      </c>
      <c r="H287" t="s">
        <v>33</v>
      </c>
      <c r="I287" t="s">
        <v>49</v>
      </c>
      <c r="J287" t="str">
        <f>IF(ISBLANK(Table1[[#This Row],[Product]]),"Unknown",Table1[[#This Row],[Product]])</f>
        <v>Keyboard</v>
      </c>
      <c r="K287" s="3">
        <v>3</v>
      </c>
      <c r="L287" s="10">
        <v>1999</v>
      </c>
      <c r="N287" t="str">
        <f>IF(ISBLANK(Table1[[#This Row],[Payment method]]),"Unknown",Table1[[#This Row],[Payment method]])</f>
        <v>Unknown</v>
      </c>
      <c r="O287" t="s">
        <v>12</v>
      </c>
      <c r="P287" t="str">
        <f>IF(Table1[[#This Row],[Unit price]]&gt;2000,"High Price","Standard Price")</f>
        <v>Standard Price</v>
      </c>
    </row>
    <row r="288" spans="1:16" x14ac:dyDescent="0.3">
      <c r="A288" s="3">
        <v>10287</v>
      </c>
      <c r="B288" s="1">
        <v>45774</v>
      </c>
      <c r="C288" s="3" t="s">
        <v>64</v>
      </c>
      <c r="D288" s="3" t="s">
        <v>43</v>
      </c>
      <c r="E288" t="s">
        <v>45</v>
      </c>
      <c r="F288" t="s">
        <v>54</v>
      </c>
      <c r="G288" t="str">
        <f>IF(ISBLANK(Table1[[#This Row],[State]]),"Unknown",Table1[[#This Row],[State]])</f>
        <v>Uttar Pradesh</v>
      </c>
      <c r="H288" t="s">
        <v>2</v>
      </c>
      <c r="I288" t="s">
        <v>24</v>
      </c>
      <c r="J288" t="str">
        <f>IF(ISBLANK(Table1[[#This Row],[Product]]),"Unknown",Table1[[#This Row],[Product]])</f>
        <v>Jeans</v>
      </c>
      <c r="K288" s="3">
        <v>5</v>
      </c>
      <c r="L288" s="10">
        <v>799</v>
      </c>
      <c r="N288" t="str">
        <f>IF(ISBLANK(Table1[[#This Row],[Payment method]]),"Unknown",Table1[[#This Row],[Payment method]])</f>
        <v>Unknown</v>
      </c>
      <c r="O288" t="s">
        <v>5</v>
      </c>
      <c r="P288" t="str">
        <f>IF(Table1[[#This Row],[Unit price]]&gt;2000,"High Price","Standard Price")</f>
        <v>Standard Price</v>
      </c>
    </row>
    <row r="289" spans="1:16" x14ac:dyDescent="0.3">
      <c r="A289" s="3">
        <v>10288</v>
      </c>
      <c r="B289" s="1">
        <v>45662</v>
      </c>
      <c r="C289" s="3" t="s">
        <v>182</v>
      </c>
      <c r="D289" s="3" t="s">
        <v>43</v>
      </c>
      <c r="E289" t="s">
        <v>35</v>
      </c>
      <c r="G289" t="str">
        <f>IF(ISBLANK(Table1[[#This Row],[State]]),"Unknown",Table1[[#This Row],[State]])</f>
        <v>Unknown</v>
      </c>
      <c r="H289" t="s">
        <v>33</v>
      </c>
      <c r="I289" t="s">
        <v>49</v>
      </c>
      <c r="J289" t="str">
        <f>IF(ISBLANK(Table1[[#This Row],[Product]]),"Unknown",Table1[[#This Row],[Product]])</f>
        <v>Keyboard</v>
      </c>
      <c r="K289" s="3">
        <v>3</v>
      </c>
      <c r="L289" s="10">
        <v>1299</v>
      </c>
      <c r="M289" t="s">
        <v>11</v>
      </c>
      <c r="N289" t="str">
        <f>IF(ISBLANK(Table1[[#This Row],[Payment method]]),"Unknown",Table1[[#This Row],[Payment method]])</f>
        <v>Cash on Delivery</v>
      </c>
      <c r="O289" t="s">
        <v>17</v>
      </c>
      <c r="P289" t="str">
        <f>IF(Table1[[#This Row],[Unit price]]&gt;2000,"High Price","Standard Price")</f>
        <v>Standard Price</v>
      </c>
    </row>
    <row r="290" spans="1:16" x14ac:dyDescent="0.3">
      <c r="A290" s="3">
        <v>10289</v>
      </c>
      <c r="B290" s="1" t="s">
        <v>193</v>
      </c>
      <c r="C290" s="3" t="s">
        <v>96</v>
      </c>
      <c r="D290" s="3" t="s">
        <v>39</v>
      </c>
      <c r="E290" t="s">
        <v>32</v>
      </c>
      <c r="F290" t="s">
        <v>15</v>
      </c>
      <c r="G290" t="str">
        <f>IF(ISBLANK(Table1[[#This Row],[State]]),"Unknown",Table1[[#This Row],[State]])</f>
        <v>Maharashtra</v>
      </c>
      <c r="H290" t="s">
        <v>2</v>
      </c>
      <c r="I290" t="s">
        <v>3</v>
      </c>
      <c r="J290" t="str">
        <f>IF(ISBLANK(Table1[[#This Row],[Product]]),"Unknown",Table1[[#This Row],[Product]])</f>
        <v>T-Shirt</v>
      </c>
      <c r="K290" s="3">
        <v>1</v>
      </c>
      <c r="L290" s="10">
        <v>299</v>
      </c>
      <c r="M290" t="s">
        <v>26</v>
      </c>
      <c r="N290" t="str">
        <f>IF(ISBLANK(Table1[[#This Row],[Payment method]]),"Unknown",Table1[[#This Row],[Payment method]])</f>
        <v>Card</v>
      </c>
      <c r="O290" t="s">
        <v>12</v>
      </c>
      <c r="P290" t="str">
        <f>IF(Table1[[#This Row],[Unit price]]&gt;2000,"High Price","Standard Price")</f>
        <v>Standard Price</v>
      </c>
    </row>
    <row r="291" spans="1:16" x14ac:dyDescent="0.3">
      <c r="A291" s="3">
        <v>10290</v>
      </c>
      <c r="B291" s="1">
        <v>45739</v>
      </c>
      <c r="C291" s="3" t="s">
        <v>30</v>
      </c>
      <c r="D291" s="3" t="s">
        <v>7</v>
      </c>
      <c r="E291" t="s">
        <v>20</v>
      </c>
      <c r="F291" t="s">
        <v>20</v>
      </c>
      <c r="G291" t="str">
        <f>IF(ISBLANK(Table1[[#This Row],[State]]),"Unknown",Table1[[#This Row],[State]])</f>
        <v>Delhi</v>
      </c>
      <c r="H291" t="s">
        <v>33</v>
      </c>
      <c r="I291" t="s">
        <v>21</v>
      </c>
      <c r="J291" t="str">
        <f>IF(ISBLANK(Table1[[#This Row],[Product]]),"Unknown",Table1[[#This Row],[Product]])</f>
        <v>Headphones</v>
      </c>
      <c r="K291" s="3">
        <v>1</v>
      </c>
      <c r="L291" s="10">
        <v>499</v>
      </c>
      <c r="M291" t="s">
        <v>26</v>
      </c>
      <c r="N291" t="str">
        <f>IF(ISBLANK(Table1[[#This Row],[Payment method]]),"Unknown",Table1[[#This Row],[Payment method]])</f>
        <v>Card</v>
      </c>
      <c r="O291" t="s">
        <v>5</v>
      </c>
      <c r="P291" t="str">
        <f>IF(Table1[[#This Row],[Unit price]]&gt;2000,"High Price","Standard Price")</f>
        <v>Standard Price</v>
      </c>
    </row>
    <row r="292" spans="1:16" x14ac:dyDescent="0.3">
      <c r="A292" s="3">
        <v>10291</v>
      </c>
      <c r="B292" s="1">
        <v>45766</v>
      </c>
      <c r="C292" s="3" t="s">
        <v>194</v>
      </c>
      <c r="D292" s="3" t="s">
        <v>39</v>
      </c>
      <c r="E292" t="s">
        <v>32</v>
      </c>
      <c r="F292" t="s">
        <v>36</v>
      </c>
      <c r="G292" t="str">
        <f>IF(ISBLANK(Table1[[#This Row],[State]]),"Unknown",Table1[[#This Row],[State]])</f>
        <v>Maharastra</v>
      </c>
      <c r="H292" t="s">
        <v>2</v>
      </c>
      <c r="I292" t="s">
        <v>24</v>
      </c>
      <c r="J292" t="str">
        <f>IF(ISBLANK(Table1[[#This Row],[Product]]),"Unknown",Table1[[#This Row],[Product]])</f>
        <v>Jeans</v>
      </c>
      <c r="K292" s="3">
        <v>2</v>
      </c>
      <c r="L292" s="10">
        <v>1299</v>
      </c>
      <c r="N292" t="str">
        <f>IF(ISBLANK(Table1[[#This Row],[Payment method]]),"Unknown",Table1[[#This Row],[Payment method]])</f>
        <v>Unknown</v>
      </c>
      <c r="O292" t="s">
        <v>17</v>
      </c>
      <c r="P292" t="str">
        <f>IF(Table1[[#This Row],[Unit price]]&gt;2000,"High Price","Standard Price")</f>
        <v>Standard Price</v>
      </c>
    </row>
    <row r="293" spans="1:16" x14ac:dyDescent="0.3">
      <c r="A293" s="3">
        <v>10292</v>
      </c>
      <c r="B293" s="1">
        <v>45772</v>
      </c>
      <c r="C293" s="3" t="s">
        <v>82</v>
      </c>
      <c r="D293" s="3" t="s">
        <v>19</v>
      </c>
      <c r="E293" t="s">
        <v>35</v>
      </c>
      <c r="F293" t="s">
        <v>36</v>
      </c>
      <c r="G293" t="str">
        <f>IF(ISBLANK(Table1[[#This Row],[State]]),"Unknown",Table1[[#This Row],[State]])</f>
        <v>Maharastra</v>
      </c>
      <c r="H293" t="s">
        <v>2</v>
      </c>
      <c r="I293" t="s">
        <v>3</v>
      </c>
      <c r="J293" t="str">
        <f>IF(ISBLANK(Table1[[#This Row],[Product]]),"Unknown",Table1[[#This Row],[Product]])</f>
        <v>T-Shirt</v>
      </c>
      <c r="K293" s="3">
        <v>4</v>
      </c>
      <c r="L293" s="10">
        <v>1999</v>
      </c>
      <c r="M293" t="s">
        <v>26</v>
      </c>
      <c r="N293" t="str">
        <f>IF(ISBLANK(Table1[[#This Row],[Payment method]]),"Unknown",Table1[[#This Row],[Payment method]])</f>
        <v>Card</v>
      </c>
      <c r="O293" t="s">
        <v>5</v>
      </c>
      <c r="P293" t="str">
        <f>IF(Table1[[#This Row],[Unit price]]&gt;2000,"High Price","Standard Price")</f>
        <v>Standard Price</v>
      </c>
    </row>
    <row r="294" spans="1:16" x14ac:dyDescent="0.3">
      <c r="A294" s="3">
        <v>10293</v>
      </c>
      <c r="B294" s="1">
        <v>45825</v>
      </c>
      <c r="C294" s="3" t="s">
        <v>172</v>
      </c>
      <c r="D294" s="3" t="s">
        <v>57</v>
      </c>
      <c r="E294" t="s">
        <v>8</v>
      </c>
      <c r="F294" t="s">
        <v>52</v>
      </c>
      <c r="G294" t="str">
        <f>IF(ISBLANK(Table1[[#This Row],[State]]),"Unknown",Table1[[#This Row],[State]])</f>
        <v>Karnataka</v>
      </c>
      <c r="H294" t="s">
        <v>2</v>
      </c>
      <c r="I294" t="s">
        <v>3</v>
      </c>
      <c r="J294" t="str">
        <f>IF(ISBLANK(Table1[[#This Row],[Product]]),"Unknown",Table1[[#This Row],[Product]])</f>
        <v>T-Shirt</v>
      </c>
      <c r="K294" s="3">
        <v>4</v>
      </c>
      <c r="L294" s="10">
        <v>299</v>
      </c>
      <c r="M294" t="s">
        <v>11</v>
      </c>
      <c r="N294" t="str">
        <f>IF(ISBLANK(Table1[[#This Row],[Payment method]]),"Unknown",Table1[[#This Row],[Payment method]])</f>
        <v>Cash on Delivery</v>
      </c>
      <c r="O294" t="s">
        <v>5</v>
      </c>
      <c r="P294" t="str">
        <f>IF(Table1[[#This Row],[Unit price]]&gt;2000,"High Price","Standard Price")</f>
        <v>Standard Price</v>
      </c>
    </row>
    <row r="295" spans="1:16" x14ac:dyDescent="0.3">
      <c r="A295" s="3">
        <v>10294</v>
      </c>
      <c r="B295" s="1">
        <v>45777</v>
      </c>
      <c r="C295" s="3" t="s">
        <v>50</v>
      </c>
      <c r="D295" s="3" t="s">
        <v>23</v>
      </c>
      <c r="E295" t="s">
        <v>32</v>
      </c>
      <c r="F295" t="s">
        <v>36</v>
      </c>
      <c r="G295" t="str">
        <f>IF(ISBLANK(Table1[[#This Row],[State]]),"Unknown",Table1[[#This Row],[State]])</f>
        <v>Maharastra</v>
      </c>
      <c r="H295" t="s">
        <v>2</v>
      </c>
      <c r="I295" t="s">
        <v>3</v>
      </c>
      <c r="J295" t="str">
        <f>IF(ISBLANK(Table1[[#This Row],[Product]]),"Unknown",Table1[[#This Row],[Product]])</f>
        <v>T-Shirt</v>
      </c>
      <c r="K295" s="3">
        <v>4</v>
      </c>
      <c r="L295" s="10">
        <v>1999</v>
      </c>
      <c r="N295" t="str">
        <f>IF(ISBLANK(Table1[[#This Row],[Payment method]]),"Unknown",Table1[[#This Row],[Payment method]])</f>
        <v>Unknown</v>
      </c>
      <c r="O295" t="s">
        <v>12</v>
      </c>
      <c r="P295" t="str">
        <f>IF(Table1[[#This Row],[Unit price]]&gt;2000,"High Price","Standard Price")</f>
        <v>Standard Price</v>
      </c>
    </row>
    <row r="296" spans="1:16" x14ac:dyDescent="0.3">
      <c r="A296" s="3">
        <v>10295</v>
      </c>
      <c r="B296" s="1">
        <v>45761</v>
      </c>
      <c r="C296" s="3" t="s">
        <v>73</v>
      </c>
      <c r="D296" s="3" t="s">
        <v>57</v>
      </c>
      <c r="E296" t="s">
        <v>20</v>
      </c>
      <c r="F296" t="s">
        <v>20</v>
      </c>
      <c r="G296" t="str">
        <f>IF(ISBLANK(Table1[[#This Row],[State]]),"Unknown",Table1[[#This Row],[State]])</f>
        <v>Delhi</v>
      </c>
      <c r="H296" t="s">
        <v>9</v>
      </c>
      <c r="I296" t="s">
        <v>16</v>
      </c>
      <c r="J296" t="str">
        <f>IF(ISBLANK(Table1[[#This Row],[Product]]),"Unknown",Table1[[#This Row],[Product]])</f>
        <v>Lamp</v>
      </c>
      <c r="K296" s="3">
        <v>5</v>
      </c>
      <c r="L296" s="10">
        <v>499</v>
      </c>
      <c r="M296" t="s">
        <v>26</v>
      </c>
      <c r="N296" t="str">
        <f>IF(ISBLANK(Table1[[#This Row],[Payment method]]),"Unknown",Table1[[#This Row],[Payment method]])</f>
        <v>Card</v>
      </c>
      <c r="O296" t="s">
        <v>5</v>
      </c>
      <c r="P296" t="str">
        <f>IF(Table1[[#This Row],[Unit price]]&gt;2000,"High Price","Standard Price")</f>
        <v>Standard Price</v>
      </c>
    </row>
    <row r="297" spans="1:16" x14ac:dyDescent="0.3">
      <c r="A297" s="3">
        <v>10296</v>
      </c>
      <c r="B297" s="1">
        <v>45697</v>
      </c>
      <c r="C297" s="3" t="s">
        <v>136</v>
      </c>
      <c r="D297" s="3" t="s">
        <v>23</v>
      </c>
      <c r="E297" t="s">
        <v>20</v>
      </c>
      <c r="G297" t="str">
        <f>IF(ISBLANK(Table1[[#This Row],[State]]),"Unknown",Table1[[#This Row],[State]])</f>
        <v>Unknown</v>
      </c>
      <c r="H297" t="s">
        <v>2</v>
      </c>
      <c r="I297" t="s">
        <v>3</v>
      </c>
      <c r="J297" t="str">
        <f>IF(ISBLANK(Table1[[#This Row],[Product]]),"Unknown",Table1[[#This Row],[Product]])</f>
        <v>T-Shirt</v>
      </c>
      <c r="K297" s="3">
        <v>3</v>
      </c>
      <c r="L297" s="10">
        <v>1299</v>
      </c>
      <c r="N297" t="str">
        <f>IF(ISBLANK(Table1[[#This Row],[Payment method]]),"Unknown",Table1[[#This Row],[Payment method]])</f>
        <v>Unknown</v>
      </c>
      <c r="O297" t="s">
        <v>5</v>
      </c>
      <c r="P297" t="str">
        <f>IF(Table1[[#This Row],[Unit price]]&gt;2000,"High Price","Standard Price")</f>
        <v>Standard Price</v>
      </c>
    </row>
    <row r="298" spans="1:16" x14ac:dyDescent="0.3">
      <c r="A298" s="3">
        <v>10297</v>
      </c>
      <c r="B298" s="1">
        <v>45684</v>
      </c>
      <c r="C298" s="3" t="s">
        <v>30</v>
      </c>
      <c r="D298" s="3" t="s">
        <v>23</v>
      </c>
      <c r="E298" t="s">
        <v>247</v>
      </c>
      <c r="F298" t="s">
        <v>15</v>
      </c>
      <c r="G298" t="str">
        <f>IF(ISBLANK(Table1[[#This Row],[State]]),"Unknown",Table1[[#This Row],[State]])</f>
        <v>Maharashtra</v>
      </c>
      <c r="H298" t="s">
        <v>2</v>
      </c>
      <c r="I298" t="s">
        <v>3</v>
      </c>
      <c r="J298" t="str">
        <f>IF(ISBLANK(Table1[[#This Row],[Product]]),"Unknown",Table1[[#This Row],[Product]])</f>
        <v>T-Shirt</v>
      </c>
      <c r="K298" s="3">
        <v>1</v>
      </c>
      <c r="L298" s="10">
        <v>299</v>
      </c>
      <c r="M298" t="s">
        <v>26</v>
      </c>
      <c r="N298" t="str">
        <f>IF(ISBLANK(Table1[[#This Row],[Payment method]]),"Unknown",Table1[[#This Row],[Payment method]])</f>
        <v>Card</v>
      </c>
      <c r="O298" t="s">
        <v>17</v>
      </c>
      <c r="P298" t="str">
        <f>IF(Table1[[#This Row],[Unit price]]&gt;2000,"High Price","Standard Price")</f>
        <v>Standard Price</v>
      </c>
    </row>
    <row r="299" spans="1:16" x14ac:dyDescent="0.3">
      <c r="A299" s="3">
        <v>10298</v>
      </c>
      <c r="B299" s="1">
        <v>45748</v>
      </c>
      <c r="C299" s="3" t="s">
        <v>80</v>
      </c>
      <c r="D299" s="3" t="s">
        <v>14</v>
      </c>
      <c r="E299" t="s">
        <v>32</v>
      </c>
      <c r="F299" t="s">
        <v>15</v>
      </c>
      <c r="G299" t="str">
        <f>IF(ISBLANK(Table1[[#This Row],[State]]),"Unknown",Table1[[#This Row],[State]])</f>
        <v>Maharashtra</v>
      </c>
      <c r="H299" t="s">
        <v>2</v>
      </c>
      <c r="I299" t="s">
        <v>24</v>
      </c>
      <c r="J299" t="str">
        <f>IF(ISBLANK(Table1[[#This Row],[Product]]),"Unknown",Table1[[#This Row],[Product]])</f>
        <v>Jeans</v>
      </c>
      <c r="K299" s="3">
        <v>1</v>
      </c>
      <c r="L299" s="10">
        <v>1999</v>
      </c>
      <c r="M299" t="s">
        <v>26</v>
      </c>
      <c r="N299" t="str">
        <f>IF(ISBLANK(Table1[[#This Row],[Payment method]]),"Unknown",Table1[[#This Row],[Payment method]])</f>
        <v>Card</v>
      </c>
      <c r="O299" t="s">
        <v>17</v>
      </c>
      <c r="P299" t="str">
        <f>IF(Table1[[#This Row],[Unit price]]&gt;2000,"High Price","Standard Price")</f>
        <v>Standard Price</v>
      </c>
    </row>
    <row r="300" spans="1:16" x14ac:dyDescent="0.3">
      <c r="A300" s="3">
        <v>10299</v>
      </c>
      <c r="B300" s="1">
        <v>45826</v>
      </c>
      <c r="C300" s="3" t="s">
        <v>190</v>
      </c>
      <c r="D300" s="3" t="s">
        <v>23</v>
      </c>
      <c r="E300" t="s">
        <v>45</v>
      </c>
      <c r="F300" t="s">
        <v>54</v>
      </c>
      <c r="G300" t="str">
        <f>IF(ISBLANK(Table1[[#This Row],[State]]),"Unknown",Table1[[#This Row],[State]])</f>
        <v>Uttar Pradesh</v>
      </c>
      <c r="H300" t="s">
        <v>33</v>
      </c>
      <c r="I300" t="s">
        <v>37</v>
      </c>
      <c r="J300" t="str">
        <f>IF(ISBLANK(Table1[[#This Row],[Product]]),"Unknown",Table1[[#This Row],[Product]])</f>
        <v>Mouse</v>
      </c>
      <c r="K300" s="3">
        <v>3</v>
      </c>
      <c r="L300" s="10">
        <v>1299</v>
      </c>
      <c r="N300" t="str">
        <f>IF(ISBLANK(Table1[[#This Row],[Payment method]]),"Unknown",Table1[[#This Row],[Payment method]])</f>
        <v>Unknown</v>
      </c>
      <c r="O300" t="s">
        <v>5</v>
      </c>
      <c r="P300" t="str">
        <f>IF(Table1[[#This Row],[Unit price]]&gt;2000,"High Price","Standard Price")</f>
        <v>Standard Price</v>
      </c>
    </row>
    <row r="301" spans="1:16" x14ac:dyDescent="0.3">
      <c r="A301" s="3">
        <v>10300</v>
      </c>
      <c r="B301" s="1">
        <v>45825</v>
      </c>
      <c r="C301" s="3" t="s">
        <v>122</v>
      </c>
      <c r="D301" s="3" t="s">
        <v>57</v>
      </c>
      <c r="E301" t="s">
        <v>20</v>
      </c>
      <c r="F301" t="s">
        <v>20</v>
      </c>
      <c r="G301" t="str">
        <f>IF(ISBLANK(Table1[[#This Row],[State]]),"Unknown",Table1[[#This Row],[State]])</f>
        <v>Delhi</v>
      </c>
      <c r="H301" t="s">
        <v>2</v>
      </c>
      <c r="I301" t="s">
        <v>3</v>
      </c>
      <c r="J301" t="str">
        <f>IF(ISBLANK(Table1[[#This Row],[Product]]),"Unknown",Table1[[#This Row],[Product]])</f>
        <v>T-Shirt</v>
      </c>
      <c r="K301" s="3">
        <v>1</v>
      </c>
      <c r="L301" s="10">
        <v>1999</v>
      </c>
      <c r="N301" t="str">
        <f>IF(ISBLANK(Table1[[#This Row],[Payment method]]),"Unknown",Table1[[#This Row],[Payment method]])</f>
        <v>Unknown</v>
      </c>
      <c r="O301" t="s">
        <v>12</v>
      </c>
      <c r="P301" t="str">
        <f>IF(Table1[[#This Row],[Unit price]]&gt;2000,"High Price","Standard Price")</f>
        <v>Standard Price</v>
      </c>
    </row>
    <row r="302" spans="1:16" x14ac:dyDescent="0.3">
      <c r="A302" s="3">
        <v>10301</v>
      </c>
      <c r="B302" s="1">
        <v>45825</v>
      </c>
      <c r="C302" s="3" t="s">
        <v>40</v>
      </c>
      <c r="D302" s="3" t="s">
        <v>14</v>
      </c>
      <c r="E302" t="s">
        <v>32</v>
      </c>
      <c r="F302" t="s">
        <v>15</v>
      </c>
      <c r="G302" t="str">
        <f>IF(ISBLANK(Table1[[#This Row],[State]]),"Unknown",Table1[[#This Row],[State]])</f>
        <v>Maharashtra</v>
      </c>
      <c r="H302" t="s">
        <v>33</v>
      </c>
      <c r="I302" t="s">
        <v>21</v>
      </c>
      <c r="J302" t="str">
        <f>IF(ISBLANK(Table1[[#This Row],[Product]]),"Unknown",Table1[[#This Row],[Product]])</f>
        <v>Headphones</v>
      </c>
      <c r="K302" s="3">
        <v>2</v>
      </c>
      <c r="L302" s="10">
        <v>499</v>
      </c>
      <c r="M302" t="s">
        <v>26</v>
      </c>
      <c r="N302" t="str">
        <f>IF(ISBLANK(Table1[[#This Row],[Payment method]]),"Unknown",Table1[[#This Row],[Payment method]])</f>
        <v>Card</v>
      </c>
      <c r="O302" t="s">
        <v>58</v>
      </c>
      <c r="P302" t="str">
        <f>IF(Table1[[#This Row],[Unit price]]&gt;2000,"High Price","Standard Price")</f>
        <v>Standard Price</v>
      </c>
    </row>
    <row r="303" spans="1:16" x14ac:dyDescent="0.3">
      <c r="A303" s="3">
        <v>10302</v>
      </c>
      <c r="B303" s="1">
        <v>45677</v>
      </c>
      <c r="C303" s="3" t="s">
        <v>159</v>
      </c>
      <c r="D303" s="3" t="s">
        <v>14</v>
      </c>
      <c r="E303" t="s">
        <v>248</v>
      </c>
      <c r="F303" t="s">
        <v>52</v>
      </c>
      <c r="G303" t="str">
        <f>IF(ISBLANK(Table1[[#This Row],[State]]),"Unknown",Table1[[#This Row],[State]])</f>
        <v>Karnataka</v>
      </c>
      <c r="H303" t="s">
        <v>9</v>
      </c>
      <c r="I303" t="s">
        <v>10</v>
      </c>
      <c r="J303" t="str">
        <f>IF(ISBLANK(Table1[[#This Row],[Product]]),"Unknown",Table1[[#This Row],[Product]])</f>
        <v>Chair</v>
      </c>
      <c r="K303" s="3">
        <v>3</v>
      </c>
      <c r="L303" s="10">
        <v>499</v>
      </c>
      <c r="M303" t="s">
        <v>26</v>
      </c>
      <c r="N303" t="str">
        <f>IF(ISBLANK(Table1[[#This Row],[Payment method]]),"Unknown",Table1[[#This Row],[Payment method]])</f>
        <v>Card</v>
      </c>
      <c r="O303" t="s">
        <v>12</v>
      </c>
      <c r="P303" t="str">
        <f>IF(Table1[[#This Row],[Unit price]]&gt;2000,"High Price","Standard Price")</f>
        <v>Standard Price</v>
      </c>
    </row>
    <row r="304" spans="1:16" x14ac:dyDescent="0.3">
      <c r="A304" s="3">
        <v>10303</v>
      </c>
      <c r="B304" s="1">
        <v>45707</v>
      </c>
      <c r="C304" s="3" t="s">
        <v>126</v>
      </c>
      <c r="D304" s="3" t="s">
        <v>23</v>
      </c>
      <c r="E304" t="s">
        <v>248</v>
      </c>
      <c r="F304" t="s">
        <v>52</v>
      </c>
      <c r="G304" t="str">
        <f>IF(ISBLANK(Table1[[#This Row],[State]]),"Unknown",Table1[[#This Row],[State]])</f>
        <v>Karnataka</v>
      </c>
      <c r="H304" t="s">
        <v>9</v>
      </c>
      <c r="I304" t="s">
        <v>10</v>
      </c>
      <c r="J304" t="str">
        <f>IF(ISBLANK(Table1[[#This Row],[Product]]),"Unknown",Table1[[#This Row],[Product]])</f>
        <v>Chair</v>
      </c>
      <c r="K304" s="3">
        <v>2</v>
      </c>
      <c r="L304" s="10">
        <v>299</v>
      </c>
      <c r="M304" t="s">
        <v>4</v>
      </c>
      <c r="N304" t="str">
        <f>IF(ISBLANK(Table1[[#This Row],[Payment method]]),"Unknown",Table1[[#This Row],[Payment method]])</f>
        <v>Net Banking</v>
      </c>
      <c r="O304" t="s">
        <v>12</v>
      </c>
      <c r="P304" t="str">
        <f>IF(Table1[[#This Row],[Unit price]]&gt;2000,"High Price","Standard Price")</f>
        <v>Standard Price</v>
      </c>
    </row>
    <row r="305" spans="1:16" x14ac:dyDescent="0.3">
      <c r="A305" s="3">
        <v>10304</v>
      </c>
      <c r="B305" s="1">
        <v>45797</v>
      </c>
      <c r="C305" s="3" t="s">
        <v>104</v>
      </c>
      <c r="D305" s="3" t="s">
        <v>1</v>
      </c>
      <c r="E305" t="s">
        <v>45</v>
      </c>
      <c r="F305" t="s">
        <v>54</v>
      </c>
      <c r="G305" t="str">
        <f>IF(ISBLANK(Table1[[#This Row],[State]]),"Unknown",Table1[[#This Row],[State]])</f>
        <v>Uttar Pradesh</v>
      </c>
      <c r="H305" t="s">
        <v>2</v>
      </c>
      <c r="I305" t="s">
        <v>3</v>
      </c>
      <c r="J305" t="str">
        <f>IF(ISBLANK(Table1[[#This Row],[Product]]),"Unknown",Table1[[#This Row],[Product]])</f>
        <v>T-Shirt</v>
      </c>
      <c r="K305" s="3">
        <v>4</v>
      </c>
      <c r="L305" s="10">
        <v>499</v>
      </c>
      <c r="M305" t="s">
        <v>11</v>
      </c>
      <c r="N305" t="str">
        <f>IF(ISBLANK(Table1[[#This Row],[Payment method]]),"Unknown",Table1[[#This Row],[Payment method]])</f>
        <v>Cash on Delivery</v>
      </c>
      <c r="O305" t="s">
        <v>58</v>
      </c>
      <c r="P305" t="str">
        <f>IF(Table1[[#This Row],[Unit price]]&gt;2000,"High Price","Standard Price")</f>
        <v>Standard Price</v>
      </c>
    </row>
    <row r="306" spans="1:16" x14ac:dyDescent="0.3">
      <c r="A306" s="3">
        <v>10305</v>
      </c>
      <c r="B306" s="1">
        <v>45775</v>
      </c>
      <c r="C306" s="3" t="s">
        <v>183</v>
      </c>
      <c r="D306" s="3" t="s">
        <v>39</v>
      </c>
      <c r="E306" t="s">
        <v>248</v>
      </c>
      <c r="F306" t="s">
        <v>52</v>
      </c>
      <c r="G306" t="str">
        <f>IF(ISBLANK(Table1[[#This Row],[State]]),"Unknown",Table1[[#This Row],[State]])</f>
        <v>Karnataka</v>
      </c>
      <c r="H306" t="s">
        <v>33</v>
      </c>
      <c r="I306" t="s">
        <v>21</v>
      </c>
      <c r="J306" t="str">
        <f>IF(ISBLANK(Table1[[#This Row],[Product]]),"Unknown",Table1[[#This Row],[Product]])</f>
        <v>Headphones</v>
      </c>
      <c r="K306" s="3">
        <v>2</v>
      </c>
      <c r="L306" s="10">
        <v>1999</v>
      </c>
      <c r="N306" t="str">
        <f>IF(ISBLANK(Table1[[#This Row],[Payment method]]),"Unknown",Table1[[#This Row],[Payment method]])</f>
        <v>Unknown</v>
      </c>
      <c r="O306" t="s">
        <v>58</v>
      </c>
      <c r="P306" t="str">
        <f>IF(Table1[[#This Row],[Unit price]]&gt;2000,"High Price","Standard Price")</f>
        <v>Standard Price</v>
      </c>
    </row>
    <row r="307" spans="1:16" x14ac:dyDescent="0.3">
      <c r="A307" s="3">
        <v>10306</v>
      </c>
      <c r="B307" s="1">
        <v>45870</v>
      </c>
      <c r="C307" s="3" t="s">
        <v>174</v>
      </c>
      <c r="D307" s="3" t="s">
        <v>1</v>
      </c>
      <c r="E307" t="s">
        <v>249</v>
      </c>
      <c r="F307" t="s">
        <v>36</v>
      </c>
      <c r="G307" t="str">
        <f>IF(ISBLANK(Table1[[#This Row],[State]]),"Unknown",Table1[[#This Row],[State]])</f>
        <v>Maharastra</v>
      </c>
      <c r="H307" t="s">
        <v>2</v>
      </c>
      <c r="I307" t="s">
        <v>3</v>
      </c>
      <c r="J307" t="str">
        <f>IF(ISBLANK(Table1[[#This Row],[Product]]),"Unknown",Table1[[#This Row],[Product]])</f>
        <v>T-Shirt</v>
      </c>
      <c r="K307" s="3">
        <v>5</v>
      </c>
      <c r="L307" s="10">
        <v>1999</v>
      </c>
      <c r="M307" t="s">
        <v>26</v>
      </c>
      <c r="N307" t="str">
        <f>IF(ISBLANK(Table1[[#This Row],[Payment method]]),"Unknown",Table1[[#This Row],[Payment method]])</f>
        <v>Card</v>
      </c>
      <c r="O307" t="s">
        <v>12</v>
      </c>
      <c r="P307" t="str">
        <f>IF(Table1[[#This Row],[Unit price]]&gt;2000,"High Price","Standard Price")</f>
        <v>Standard Price</v>
      </c>
    </row>
    <row r="308" spans="1:16" x14ac:dyDescent="0.3">
      <c r="A308" s="3">
        <v>10307</v>
      </c>
      <c r="B308" s="1">
        <v>45698</v>
      </c>
      <c r="C308" s="3" t="s">
        <v>170</v>
      </c>
      <c r="D308" s="3" t="s">
        <v>14</v>
      </c>
      <c r="E308" t="s">
        <v>45</v>
      </c>
      <c r="F308" t="s">
        <v>54</v>
      </c>
      <c r="G308" t="str">
        <f>IF(ISBLANK(Table1[[#This Row],[State]]),"Unknown",Table1[[#This Row],[State]])</f>
        <v>Uttar Pradesh</v>
      </c>
      <c r="H308" t="s">
        <v>9</v>
      </c>
      <c r="J308" t="str">
        <f>IF(ISBLANK(Table1[[#This Row],[Product]]),"Unknown",Table1[[#This Row],[Product]])</f>
        <v>Unknown</v>
      </c>
      <c r="K308" s="3">
        <v>1</v>
      </c>
      <c r="L308" s="10">
        <v>1299</v>
      </c>
      <c r="M308" t="s">
        <v>11</v>
      </c>
      <c r="N308" t="str">
        <f>IF(ISBLANK(Table1[[#This Row],[Payment method]]),"Unknown",Table1[[#This Row],[Payment method]])</f>
        <v>Cash on Delivery</v>
      </c>
      <c r="O308" t="s">
        <v>12</v>
      </c>
      <c r="P308" t="str">
        <f>IF(Table1[[#This Row],[Unit price]]&gt;2000,"High Price","Standard Price")</f>
        <v>Standard Price</v>
      </c>
    </row>
    <row r="309" spans="1:16" x14ac:dyDescent="0.3">
      <c r="A309" s="3">
        <v>10308</v>
      </c>
      <c r="B309" s="1">
        <v>45995</v>
      </c>
      <c r="C309" s="3" t="s">
        <v>149</v>
      </c>
      <c r="D309" s="3" t="s">
        <v>57</v>
      </c>
      <c r="E309" t="s">
        <v>20</v>
      </c>
      <c r="F309" t="s">
        <v>20</v>
      </c>
      <c r="G309" t="str">
        <f>IF(ISBLANK(Table1[[#This Row],[State]]),"Unknown",Table1[[#This Row],[State]])</f>
        <v>Delhi</v>
      </c>
      <c r="H309" t="s">
        <v>9</v>
      </c>
      <c r="I309" t="s">
        <v>16</v>
      </c>
      <c r="J309" t="str">
        <f>IF(ISBLANK(Table1[[#This Row],[Product]]),"Unknown",Table1[[#This Row],[Product]])</f>
        <v>Lamp</v>
      </c>
      <c r="K309" s="3">
        <v>4</v>
      </c>
      <c r="L309" s="10">
        <v>1999</v>
      </c>
      <c r="M309" t="s">
        <v>11</v>
      </c>
      <c r="N309" t="str">
        <f>IF(ISBLANK(Table1[[#This Row],[Payment method]]),"Unknown",Table1[[#This Row],[Payment method]])</f>
        <v>Cash on Delivery</v>
      </c>
      <c r="O309" t="s">
        <v>17</v>
      </c>
      <c r="P309" t="str">
        <f>IF(Table1[[#This Row],[Unit price]]&gt;2000,"High Price","Standard Price")</f>
        <v>Standard Price</v>
      </c>
    </row>
    <row r="310" spans="1:16" x14ac:dyDescent="0.3">
      <c r="A310" s="3">
        <v>10309</v>
      </c>
      <c r="B310" s="1">
        <v>45704</v>
      </c>
      <c r="C310" s="3" t="s">
        <v>111</v>
      </c>
      <c r="D310" s="3" t="s">
        <v>14</v>
      </c>
      <c r="E310" t="s">
        <v>32</v>
      </c>
      <c r="F310" t="s">
        <v>15</v>
      </c>
      <c r="G310" t="str">
        <f>IF(ISBLANK(Table1[[#This Row],[State]]),"Unknown",Table1[[#This Row],[State]])</f>
        <v>Maharashtra</v>
      </c>
      <c r="H310" t="s">
        <v>9</v>
      </c>
      <c r="I310" t="s">
        <v>16</v>
      </c>
      <c r="J310" t="str">
        <f>IF(ISBLANK(Table1[[#This Row],[Product]]),"Unknown",Table1[[#This Row],[Product]])</f>
        <v>Lamp</v>
      </c>
      <c r="K310" s="3">
        <v>4</v>
      </c>
      <c r="L310" s="10">
        <v>499</v>
      </c>
      <c r="M310" t="s">
        <v>11</v>
      </c>
      <c r="N310" t="str">
        <f>IF(ISBLANK(Table1[[#This Row],[Payment method]]),"Unknown",Table1[[#This Row],[Payment method]])</f>
        <v>Cash on Delivery</v>
      </c>
      <c r="O310" t="s">
        <v>5</v>
      </c>
      <c r="P310" t="str">
        <f>IF(Table1[[#This Row],[Unit price]]&gt;2000,"High Price","Standard Price")</f>
        <v>Standard Price</v>
      </c>
    </row>
    <row r="311" spans="1:16" x14ac:dyDescent="0.3">
      <c r="A311" s="3">
        <v>10310</v>
      </c>
      <c r="B311" s="1">
        <v>45797</v>
      </c>
      <c r="C311" s="3" t="s">
        <v>142</v>
      </c>
      <c r="D311" s="3" t="s">
        <v>57</v>
      </c>
      <c r="E311" t="s">
        <v>35</v>
      </c>
      <c r="F311" t="s">
        <v>15</v>
      </c>
      <c r="G311" t="str">
        <f>IF(ISBLANK(Table1[[#This Row],[State]]),"Unknown",Table1[[#This Row],[State]])</f>
        <v>Maharashtra</v>
      </c>
      <c r="H311" t="s">
        <v>33</v>
      </c>
      <c r="I311" t="s">
        <v>37</v>
      </c>
      <c r="J311" t="str">
        <f>IF(ISBLANK(Table1[[#This Row],[Product]]),"Unknown",Table1[[#This Row],[Product]])</f>
        <v>Mouse</v>
      </c>
      <c r="K311" s="3">
        <v>5</v>
      </c>
      <c r="L311" s="10">
        <v>299</v>
      </c>
      <c r="M311" t="s">
        <v>26</v>
      </c>
      <c r="N311" t="str">
        <f>IF(ISBLANK(Table1[[#This Row],[Payment method]]),"Unknown",Table1[[#This Row],[Payment method]])</f>
        <v>Card</v>
      </c>
      <c r="O311" t="s">
        <v>58</v>
      </c>
      <c r="P311" t="str">
        <f>IF(Table1[[#This Row],[Unit price]]&gt;2000,"High Price","Standard Price")</f>
        <v>Standard Price</v>
      </c>
    </row>
    <row r="312" spans="1:16" x14ac:dyDescent="0.3">
      <c r="A312" s="3">
        <v>10311</v>
      </c>
      <c r="B312" s="1">
        <v>45837</v>
      </c>
      <c r="C312" s="3" t="s">
        <v>195</v>
      </c>
      <c r="D312" s="3" t="s">
        <v>7</v>
      </c>
      <c r="E312" t="s">
        <v>248</v>
      </c>
      <c r="F312" t="s">
        <v>52</v>
      </c>
      <c r="G312" t="str">
        <f>IF(ISBLANK(Table1[[#This Row],[State]]),"Unknown",Table1[[#This Row],[State]])</f>
        <v>Karnataka</v>
      </c>
      <c r="H312" t="s">
        <v>2</v>
      </c>
      <c r="I312" t="s">
        <v>24</v>
      </c>
      <c r="J312" t="str">
        <f>IF(ISBLANK(Table1[[#This Row],[Product]]),"Unknown",Table1[[#This Row],[Product]])</f>
        <v>Jeans</v>
      </c>
      <c r="K312" s="3">
        <v>4</v>
      </c>
      <c r="L312" s="10">
        <v>799</v>
      </c>
      <c r="M312" t="s">
        <v>4</v>
      </c>
      <c r="N312" t="str">
        <f>IF(ISBLANK(Table1[[#This Row],[Payment method]]),"Unknown",Table1[[#This Row],[Payment method]])</f>
        <v>Net Banking</v>
      </c>
      <c r="O312" t="s">
        <v>17</v>
      </c>
      <c r="P312" t="str">
        <f>IF(Table1[[#This Row],[Unit price]]&gt;2000,"High Price","Standard Price")</f>
        <v>Standard Price</v>
      </c>
    </row>
    <row r="313" spans="1:16" x14ac:dyDescent="0.3">
      <c r="A313" s="3">
        <v>10312</v>
      </c>
      <c r="B313" s="1">
        <v>45817</v>
      </c>
      <c r="C313" s="3" t="s">
        <v>124</v>
      </c>
      <c r="D313" s="3" t="s">
        <v>14</v>
      </c>
      <c r="E313" t="s">
        <v>247</v>
      </c>
      <c r="F313" t="s">
        <v>15</v>
      </c>
      <c r="G313" t="str">
        <f>IF(ISBLANK(Table1[[#This Row],[State]]),"Unknown",Table1[[#This Row],[State]])</f>
        <v>Maharashtra</v>
      </c>
      <c r="H313" t="s">
        <v>2</v>
      </c>
      <c r="I313" t="s">
        <v>24</v>
      </c>
      <c r="J313" t="str">
        <f>IF(ISBLANK(Table1[[#This Row],[Product]]),"Unknown",Table1[[#This Row],[Product]])</f>
        <v>Jeans</v>
      </c>
      <c r="K313" s="3">
        <v>4</v>
      </c>
      <c r="L313" s="10">
        <v>1999</v>
      </c>
      <c r="N313" t="str">
        <f>IF(ISBLANK(Table1[[#This Row],[Payment method]]),"Unknown",Table1[[#This Row],[Payment method]])</f>
        <v>Unknown</v>
      </c>
      <c r="O313" t="s">
        <v>12</v>
      </c>
      <c r="P313" t="str">
        <f>IF(Table1[[#This Row],[Unit price]]&gt;2000,"High Price","Standard Price")</f>
        <v>Standard Price</v>
      </c>
    </row>
    <row r="314" spans="1:16" x14ac:dyDescent="0.3">
      <c r="A314" s="3">
        <v>10313</v>
      </c>
      <c r="B314" s="1">
        <v>45792</v>
      </c>
      <c r="C314" s="3" t="s">
        <v>164</v>
      </c>
      <c r="D314" s="3" t="s">
        <v>19</v>
      </c>
      <c r="E314" t="s">
        <v>248</v>
      </c>
      <c r="F314" t="s">
        <v>52</v>
      </c>
      <c r="G314" t="str">
        <f>IF(ISBLANK(Table1[[#This Row],[State]]),"Unknown",Table1[[#This Row],[State]])</f>
        <v>Karnataka</v>
      </c>
      <c r="H314" t="s">
        <v>2</v>
      </c>
      <c r="I314" t="s">
        <v>24</v>
      </c>
      <c r="J314" t="str">
        <f>IF(ISBLANK(Table1[[#This Row],[Product]]),"Unknown",Table1[[#This Row],[Product]])</f>
        <v>Jeans</v>
      </c>
      <c r="K314" s="3">
        <v>5</v>
      </c>
      <c r="L314" s="10">
        <v>499</v>
      </c>
      <c r="M314" t="s">
        <v>4</v>
      </c>
      <c r="N314" t="str">
        <f>IF(ISBLANK(Table1[[#This Row],[Payment method]]),"Unknown",Table1[[#This Row],[Payment method]])</f>
        <v>Net Banking</v>
      </c>
      <c r="O314" t="s">
        <v>58</v>
      </c>
      <c r="P314" t="str">
        <f>IF(Table1[[#This Row],[Unit price]]&gt;2000,"High Price","Standard Price")</f>
        <v>Standard Price</v>
      </c>
    </row>
    <row r="315" spans="1:16" x14ac:dyDescent="0.3">
      <c r="A315" s="3">
        <v>10314</v>
      </c>
      <c r="B315" s="1">
        <v>45672</v>
      </c>
      <c r="C315" s="3" t="s">
        <v>192</v>
      </c>
      <c r="D315" s="3" t="s">
        <v>39</v>
      </c>
      <c r="E315" t="s">
        <v>20</v>
      </c>
      <c r="F315" t="s">
        <v>20</v>
      </c>
      <c r="G315" t="str">
        <f>IF(ISBLANK(Table1[[#This Row],[State]]),"Unknown",Table1[[#This Row],[State]])</f>
        <v>Delhi</v>
      </c>
      <c r="H315" t="s">
        <v>9</v>
      </c>
      <c r="I315" t="s">
        <v>16</v>
      </c>
      <c r="J315" t="str">
        <f>IF(ISBLANK(Table1[[#This Row],[Product]]),"Unknown",Table1[[#This Row],[Product]])</f>
        <v>Lamp</v>
      </c>
      <c r="K315" s="3">
        <v>2</v>
      </c>
      <c r="L315" s="10">
        <v>299</v>
      </c>
      <c r="N315" t="str">
        <f>IF(ISBLANK(Table1[[#This Row],[Payment method]]),"Unknown",Table1[[#This Row],[Payment method]])</f>
        <v>Unknown</v>
      </c>
      <c r="O315" t="s">
        <v>5</v>
      </c>
      <c r="P315" t="str">
        <f>IF(Table1[[#This Row],[Unit price]]&gt;2000,"High Price","Standard Price")</f>
        <v>Standard Price</v>
      </c>
    </row>
    <row r="316" spans="1:16" x14ac:dyDescent="0.3">
      <c r="A316" s="3">
        <v>10315</v>
      </c>
      <c r="B316" s="1">
        <v>45670</v>
      </c>
      <c r="C316" s="3" t="s">
        <v>196</v>
      </c>
      <c r="D316" s="3" t="s">
        <v>39</v>
      </c>
      <c r="E316" t="s">
        <v>32</v>
      </c>
      <c r="F316" t="s">
        <v>15</v>
      </c>
      <c r="G316" t="str">
        <f>IF(ISBLANK(Table1[[#This Row],[State]]),"Unknown",Table1[[#This Row],[State]])</f>
        <v>Maharashtra</v>
      </c>
      <c r="H316" t="s">
        <v>33</v>
      </c>
      <c r="I316" t="s">
        <v>21</v>
      </c>
      <c r="J316" t="str">
        <f>IF(ISBLANK(Table1[[#This Row],[Product]]),"Unknown",Table1[[#This Row],[Product]])</f>
        <v>Headphones</v>
      </c>
      <c r="K316" s="3">
        <v>3</v>
      </c>
      <c r="L316" s="10">
        <v>299</v>
      </c>
      <c r="M316" t="s">
        <v>26</v>
      </c>
      <c r="N316" t="str">
        <f>IF(ISBLANK(Table1[[#This Row],[Payment method]]),"Unknown",Table1[[#This Row],[Payment method]])</f>
        <v>Card</v>
      </c>
      <c r="O316" t="s">
        <v>58</v>
      </c>
      <c r="P316" t="str">
        <f>IF(Table1[[#This Row],[Unit price]]&gt;2000,"High Price","Standard Price")</f>
        <v>Standard Price</v>
      </c>
    </row>
    <row r="317" spans="1:16" x14ac:dyDescent="0.3">
      <c r="A317" s="3">
        <v>10316</v>
      </c>
      <c r="B317" s="1">
        <v>45741</v>
      </c>
      <c r="C317" s="3" t="s">
        <v>197</v>
      </c>
      <c r="D317" s="3" t="s">
        <v>1</v>
      </c>
      <c r="E317" t="s">
        <v>247</v>
      </c>
      <c r="F317" t="s">
        <v>36</v>
      </c>
      <c r="G317" t="str">
        <f>IF(ISBLANK(Table1[[#This Row],[State]]),"Unknown",Table1[[#This Row],[State]])</f>
        <v>Maharastra</v>
      </c>
      <c r="H317" t="s">
        <v>9</v>
      </c>
      <c r="I317" t="s">
        <v>10</v>
      </c>
      <c r="J317" t="str">
        <f>IF(ISBLANK(Table1[[#This Row],[Product]]),"Unknown",Table1[[#This Row],[Product]])</f>
        <v>Chair</v>
      </c>
      <c r="K317" s="3">
        <v>5</v>
      </c>
      <c r="L317" s="10">
        <v>799</v>
      </c>
      <c r="N317" t="str">
        <f>IF(ISBLANK(Table1[[#This Row],[Payment method]]),"Unknown",Table1[[#This Row],[Payment method]])</f>
        <v>Unknown</v>
      </c>
      <c r="O317" t="s">
        <v>12</v>
      </c>
      <c r="P317" t="str">
        <f>IF(Table1[[#This Row],[Unit price]]&gt;2000,"High Price","Standard Price")</f>
        <v>Standard Price</v>
      </c>
    </row>
    <row r="318" spans="1:16" x14ac:dyDescent="0.3">
      <c r="A318" s="3">
        <v>10317</v>
      </c>
      <c r="B318" s="1">
        <v>45811</v>
      </c>
      <c r="C318" s="3" t="s">
        <v>147</v>
      </c>
      <c r="D318" s="3" t="s">
        <v>57</v>
      </c>
      <c r="E318" t="s">
        <v>247</v>
      </c>
      <c r="F318" t="s">
        <v>15</v>
      </c>
      <c r="G318" t="str">
        <f>IF(ISBLANK(Table1[[#This Row],[State]]),"Unknown",Table1[[#This Row],[State]])</f>
        <v>Maharashtra</v>
      </c>
      <c r="H318" t="s">
        <v>33</v>
      </c>
      <c r="I318" t="s">
        <v>37</v>
      </c>
      <c r="J318" t="str">
        <f>IF(ISBLANK(Table1[[#This Row],[Product]]),"Unknown",Table1[[#This Row],[Product]])</f>
        <v>Mouse</v>
      </c>
      <c r="K318" s="3">
        <v>1</v>
      </c>
      <c r="L318" s="10">
        <v>499</v>
      </c>
      <c r="N318" t="str">
        <f>IF(ISBLANK(Table1[[#This Row],[Payment method]]),"Unknown",Table1[[#This Row],[Payment method]])</f>
        <v>Unknown</v>
      </c>
      <c r="O318" t="s">
        <v>5</v>
      </c>
      <c r="P318" t="str">
        <f>IF(Table1[[#This Row],[Unit price]]&gt;2000,"High Price","Standard Price")</f>
        <v>Standard Price</v>
      </c>
    </row>
    <row r="319" spans="1:16" x14ac:dyDescent="0.3">
      <c r="A319" s="3">
        <v>10318</v>
      </c>
      <c r="B319" s="1">
        <v>45784</v>
      </c>
      <c r="C319" s="3" t="s">
        <v>135</v>
      </c>
      <c r="D319" s="3" t="s">
        <v>23</v>
      </c>
      <c r="E319" t="s">
        <v>45</v>
      </c>
      <c r="F319" t="s">
        <v>54</v>
      </c>
      <c r="G319" t="str">
        <f>IF(ISBLANK(Table1[[#This Row],[State]]),"Unknown",Table1[[#This Row],[State]])</f>
        <v>Uttar Pradesh</v>
      </c>
      <c r="H319" t="s">
        <v>33</v>
      </c>
      <c r="I319" t="s">
        <v>37</v>
      </c>
      <c r="J319" t="str">
        <f>IF(ISBLANK(Table1[[#This Row],[Product]]),"Unknown",Table1[[#This Row],[Product]])</f>
        <v>Mouse</v>
      </c>
      <c r="K319" s="3">
        <v>5</v>
      </c>
      <c r="L319" s="10">
        <v>1299</v>
      </c>
      <c r="M319" t="s">
        <v>4</v>
      </c>
      <c r="N319" t="str">
        <f>IF(ISBLANK(Table1[[#This Row],[Payment method]]),"Unknown",Table1[[#This Row],[Payment method]])</f>
        <v>Net Banking</v>
      </c>
      <c r="O319" t="s">
        <v>12</v>
      </c>
      <c r="P319" t="str">
        <f>IF(Table1[[#This Row],[Unit price]]&gt;2000,"High Price","Standard Price")</f>
        <v>Standard Price</v>
      </c>
    </row>
    <row r="320" spans="1:16" x14ac:dyDescent="0.3">
      <c r="A320" s="3">
        <v>10319</v>
      </c>
      <c r="B320" s="1">
        <v>45722</v>
      </c>
      <c r="C320" s="3" t="s">
        <v>121</v>
      </c>
      <c r="D320" s="3" t="s">
        <v>14</v>
      </c>
      <c r="E320" t="s">
        <v>45</v>
      </c>
      <c r="F320" t="s">
        <v>54</v>
      </c>
      <c r="G320" t="str">
        <f>IF(ISBLANK(Table1[[#This Row],[State]]),"Unknown",Table1[[#This Row],[State]])</f>
        <v>Uttar Pradesh</v>
      </c>
      <c r="H320" t="s">
        <v>33</v>
      </c>
      <c r="I320" t="s">
        <v>49</v>
      </c>
      <c r="J320" t="str">
        <f>IF(ISBLANK(Table1[[#This Row],[Product]]),"Unknown",Table1[[#This Row],[Product]])</f>
        <v>Keyboard</v>
      </c>
      <c r="K320" s="3">
        <v>2</v>
      </c>
      <c r="L320" s="10">
        <v>1299</v>
      </c>
      <c r="M320" t="s">
        <v>26</v>
      </c>
      <c r="N320" t="str">
        <f>IF(ISBLANK(Table1[[#This Row],[Payment method]]),"Unknown",Table1[[#This Row],[Payment method]])</f>
        <v>Card</v>
      </c>
      <c r="O320" t="s">
        <v>5</v>
      </c>
      <c r="P320" t="str">
        <f>IF(Table1[[#This Row],[Unit price]]&gt;2000,"High Price","Standard Price")</f>
        <v>Standard Price</v>
      </c>
    </row>
    <row r="321" spans="1:16" x14ac:dyDescent="0.3">
      <c r="A321" s="3">
        <v>10320</v>
      </c>
      <c r="B321" s="1">
        <v>45817</v>
      </c>
      <c r="C321" s="3" t="s">
        <v>148</v>
      </c>
      <c r="D321" s="3" t="s">
        <v>39</v>
      </c>
      <c r="E321" t="s">
        <v>45</v>
      </c>
      <c r="F321" t="s">
        <v>54</v>
      </c>
      <c r="G321" t="str">
        <f>IF(ISBLANK(Table1[[#This Row],[State]]),"Unknown",Table1[[#This Row],[State]])</f>
        <v>Uttar Pradesh</v>
      </c>
      <c r="H321" t="s">
        <v>9</v>
      </c>
      <c r="I321" t="s">
        <v>16</v>
      </c>
      <c r="J321" t="str">
        <f>IF(ISBLANK(Table1[[#This Row],[Product]]),"Unknown",Table1[[#This Row],[Product]])</f>
        <v>Lamp</v>
      </c>
      <c r="K321" s="3">
        <v>2</v>
      </c>
      <c r="L321" s="10">
        <v>1299</v>
      </c>
      <c r="N321" t="str">
        <f>IF(ISBLANK(Table1[[#This Row],[Payment method]]),"Unknown",Table1[[#This Row],[Payment method]])</f>
        <v>Unknown</v>
      </c>
      <c r="O321" t="s">
        <v>12</v>
      </c>
      <c r="P321" t="str">
        <f>IF(Table1[[#This Row],[Unit price]]&gt;2000,"High Price","Standard Price")</f>
        <v>Standard Price</v>
      </c>
    </row>
    <row r="322" spans="1:16" x14ac:dyDescent="0.3">
      <c r="A322" s="3">
        <v>10321</v>
      </c>
      <c r="B322" s="1">
        <v>45684</v>
      </c>
      <c r="C322" s="3" t="s">
        <v>198</v>
      </c>
      <c r="D322" s="3" t="s">
        <v>57</v>
      </c>
      <c r="E322" t="s">
        <v>248</v>
      </c>
      <c r="F322" t="s">
        <v>52</v>
      </c>
      <c r="G322" t="str">
        <f>IF(ISBLANK(Table1[[#This Row],[State]]),"Unknown",Table1[[#This Row],[State]])</f>
        <v>Karnataka</v>
      </c>
      <c r="H322" t="s">
        <v>2</v>
      </c>
      <c r="I322" t="s">
        <v>3</v>
      </c>
      <c r="J322" t="str">
        <f>IF(ISBLANK(Table1[[#This Row],[Product]]),"Unknown",Table1[[#This Row],[Product]])</f>
        <v>T-Shirt</v>
      </c>
      <c r="K322" s="3">
        <v>0</v>
      </c>
      <c r="L322" s="10">
        <v>799</v>
      </c>
      <c r="M322" t="s">
        <v>4</v>
      </c>
      <c r="N322" t="str">
        <f>IF(ISBLANK(Table1[[#This Row],[Payment method]]),"Unknown",Table1[[#This Row],[Payment method]])</f>
        <v>Net Banking</v>
      </c>
      <c r="O322" t="s">
        <v>5</v>
      </c>
      <c r="P322" t="str">
        <f>IF(Table1[[#This Row],[Unit price]]&gt;2000,"High Price","Standard Price")</f>
        <v>Standard Price</v>
      </c>
    </row>
    <row r="323" spans="1:16" x14ac:dyDescent="0.3">
      <c r="A323" s="3">
        <v>10322</v>
      </c>
      <c r="B323" s="1">
        <v>45839</v>
      </c>
      <c r="C323" s="3" t="s">
        <v>104</v>
      </c>
      <c r="D323" s="3" t="s">
        <v>19</v>
      </c>
      <c r="E323" t="s">
        <v>32</v>
      </c>
      <c r="F323" t="s">
        <v>15</v>
      </c>
      <c r="G323" t="str">
        <f>IF(ISBLANK(Table1[[#This Row],[State]]),"Unknown",Table1[[#This Row],[State]])</f>
        <v>Maharashtra</v>
      </c>
      <c r="H323" t="s">
        <v>9</v>
      </c>
      <c r="I323" t="s">
        <v>16</v>
      </c>
      <c r="J323" t="str">
        <f>IF(ISBLANK(Table1[[#This Row],[Product]]),"Unknown",Table1[[#This Row],[Product]])</f>
        <v>Lamp</v>
      </c>
      <c r="K323" s="3">
        <v>4</v>
      </c>
      <c r="L323" s="10">
        <v>499</v>
      </c>
      <c r="M323" t="s">
        <v>11</v>
      </c>
      <c r="N323" t="str">
        <f>IF(ISBLANK(Table1[[#This Row],[Payment method]]),"Unknown",Table1[[#This Row],[Payment method]])</f>
        <v>Cash on Delivery</v>
      </c>
      <c r="O323" t="s">
        <v>58</v>
      </c>
      <c r="P323" t="str">
        <f>IF(Table1[[#This Row],[Unit price]]&gt;2000,"High Price","Standard Price")</f>
        <v>Standard Price</v>
      </c>
    </row>
    <row r="324" spans="1:16" x14ac:dyDescent="0.3">
      <c r="A324" s="3">
        <v>10323</v>
      </c>
      <c r="B324" s="1">
        <v>45662</v>
      </c>
      <c r="C324" s="3" t="s">
        <v>165</v>
      </c>
      <c r="D324" s="3" t="s">
        <v>43</v>
      </c>
      <c r="E324" t="s">
        <v>247</v>
      </c>
      <c r="F324" t="s">
        <v>15</v>
      </c>
      <c r="G324" t="str">
        <f>IF(ISBLANK(Table1[[#This Row],[State]]),"Unknown",Table1[[#This Row],[State]])</f>
        <v>Maharashtra</v>
      </c>
      <c r="H324" t="s">
        <v>9</v>
      </c>
      <c r="J324" t="str">
        <f>IF(ISBLANK(Table1[[#This Row],[Product]]),"Unknown",Table1[[#This Row],[Product]])</f>
        <v>Unknown</v>
      </c>
      <c r="K324" s="3">
        <v>1</v>
      </c>
      <c r="L324" s="10">
        <v>799</v>
      </c>
      <c r="N324" t="str">
        <f>IF(ISBLANK(Table1[[#This Row],[Payment method]]),"Unknown",Table1[[#This Row],[Payment method]])</f>
        <v>Unknown</v>
      </c>
      <c r="O324" t="s">
        <v>17</v>
      </c>
      <c r="P324" t="str">
        <f>IF(Table1[[#This Row],[Unit price]]&gt;2000,"High Price","Standard Price")</f>
        <v>Standard Price</v>
      </c>
    </row>
    <row r="325" spans="1:16" x14ac:dyDescent="0.3">
      <c r="A325" s="3">
        <v>10324</v>
      </c>
      <c r="B325" s="1">
        <v>45814</v>
      </c>
      <c r="C325" s="3" t="s">
        <v>61</v>
      </c>
      <c r="D325" s="3" t="s">
        <v>39</v>
      </c>
      <c r="E325" t="s">
        <v>32</v>
      </c>
      <c r="F325" t="s">
        <v>36</v>
      </c>
      <c r="G325" t="str">
        <f>IF(ISBLANK(Table1[[#This Row],[State]]),"Unknown",Table1[[#This Row],[State]])</f>
        <v>Maharastra</v>
      </c>
      <c r="H325" t="s">
        <v>2</v>
      </c>
      <c r="I325" t="s">
        <v>24</v>
      </c>
      <c r="J325" t="str">
        <f>IF(ISBLANK(Table1[[#This Row],[Product]]),"Unknown",Table1[[#This Row],[Product]])</f>
        <v>Jeans</v>
      </c>
      <c r="K325" s="3">
        <v>3</v>
      </c>
      <c r="L325" s="10">
        <v>799</v>
      </c>
      <c r="M325" t="s">
        <v>26</v>
      </c>
      <c r="N325" t="str">
        <f>IF(ISBLANK(Table1[[#This Row],[Payment method]]),"Unknown",Table1[[#This Row],[Payment method]])</f>
        <v>Card</v>
      </c>
      <c r="O325" t="s">
        <v>58</v>
      </c>
      <c r="P325" t="str">
        <f>IF(Table1[[#This Row],[Unit price]]&gt;2000,"High Price","Standard Price")</f>
        <v>Standard Price</v>
      </c>
    </row>
    <row r="326" spans="1:16" x14ac:dyDescent="0.3">
      <c r="A326" s="3">
        <v>10325</v>
      </c>
      <c r="B326" s="1">
        <v>45708</v>
      </c>
      <c r="C326" s="3" t="s">
        <v>69</v>
      </c>
      <c r="D326" s="3" t="s">
        <v>39</v>
      </c>
      <c r="E326" t="s">
        <v>8</v>
      </c>
      <c r="F326" t="s">
        <v>52</v>
      </c>
      <c r="G326" t="str">
        <f>IF(ISBLANK(Table1[[#This Row],[State]]),"Unknown",Table1[[#This Row],[State]])</f>
        <v>Karnataka</v>
      </c>
      <c r="H326" t="s">
        <v>9</v>
      </c>
      <c r="I326" t="s">
        <v>16</v>
      </c>
      <c r="J326" t="str">
        <f>IF(ISBLANK(Table1[[#This Row],[Product]]),"Unknown",Table1[[#This Row],[Product]])</f>
        <v>Lamp</v>
      </c>
      <c r="K326" s="3">
        <v>2</v>
      </c>
      <c r="L326" s="10">
        <v>299</v>
      </c>
      <c r="M326" t="s">
        <v>26</v>
      </c>
      <c r="N326" t="str">
        <f>IF(ISBLANK(Table1[[#This Row],[Payment method]]),"Unknown",Table1[[#This Row],[Payment method]])</f>
        <v>Card</v>
      </c>
      <c r="O326" t="s">
        <v>5</v>
      </c>
      <c r="P326" t="str">
        <f>IF(Table1[[#This Row],[Unit price]]&gt;2000,"High Price","Standard Price")</f>
        <v>Standard Price</v>
      </c>
    </row>
    <row r="327" spans="1:16" x14ac:dyDescent="0.3">
      <c r="A327" s="3">
        <v>10326</v>
      </c>
      <c r="B327" s="1">
        <v>45831</v>
      </c>
      <c r="C327" s="3" t="s">
        <v>138</v>
      </c>
      <c r="D327" s="3" t="s">
        <v>14</v>
      </c>
      <c r="E327" t="s">
        <v>8</v>
      </c>
      <c r="F327" t="s">
        <v>52</v>
      </c>
      <c r="G327" t="str">
        <f>IF(ISBLANK(Table1[[#This Row],[State]]),"Unknown",Table1[[#This Row],[State]])</f>
        <v>Karnataka</v>
      </c>
      <c r="H327" t="s">
        <v>9</v>
      </c>
      <c r="I327" t="s">
        <v>16</v>
      </c>
      <c r="J327" t="str">
        <f>IF(ISBLANK(Table1[[#This Row],[Product]]),"Unknown",Table1[[#This Row],[Product]])</f>
        <v>Lamp</v>
      </c>
      <c r="K327" s="3">
        <v>1</v>
      </c>
      <c r="L327" s="10">
        <v>1999</v>
      </c>
      <c r="N327" t="str">
        <f>IF(ISBLANK(Table1[[#This Row],[Payment method]]),"Unknown",Table1[[#This Row],[Payment method]])</f>
        <v>Unknown</v>
      </c>
      <c r="O327" t="s">
        <v>12</v>
      </c>
      <c r="P327" t="str">
        <f>IF(Table1[[#This Row],[Unit price]]&gt;2000,"High Price","Standard Price")</f>
        <v>Standard Price</v>
      </c>
    </row>
    <row r="328" spans="1:16" x14ac:dyDescent="0.3">
      <c r="A328" s="3">
        <v>10327</v>
      </c>
      <c r="B328" s="1">
        <v>45671</v>
      </c>
      <c r="C328" s="3" t="s">
        <v>131</v>
      </c>
      <c r="D328" s="3" t="s">
        <v>19</v>
      </c>
      <c r="E328" t="s">
        <v>35</v>
      </c>
      <c r="F328" t="s">
        <v>15</v>
      </c>
      <c r="G328" t="str">
        <f>IF(ISBLANK(Table1[[#This Row],[State]]),"Unknown",Table1[[#This Row],[State]])</f>
        <v>Maharashtra</v>
      </c>
      <c r="H328" t="s">
        <v>9</v>
      </c>
      <c r="I328" t="s">
        <v>10</v>
      </c>
      <c r="J328" t="str">
        <f>IF(ISBLANK(Table1[[#This Row],[Product]]),"Unknown",Table1[[#This Row],[Product]])</f>
        <v>Chair</v>
      </c>
      <c r="K328" s="3">
        <v>4</v>
      </c>
      <c r="L328" s="10">
        <v>1299</v>
      </c>
      <c r="N328" t="str">
        <f>IF(ISBLANK(Table1[[#This Row],[Payment method]]),"Unknown",Table1[[#This Row],[Payment method]])</f>
        <v>Unknown</v>
      </c>
      <c r="O328" t="s">
        <v>58</v>
      </c>
      <c r="P328" t="str">
        <f>IF(Table1[[#This Row],[Unit price]]&gt;2000,"High Price","Standard Price")</f>
        <v>Standard Price</v>
      </c>
    </row>
    <row r="329" spans="1:16" x14ac:dyDescent="0.3">
      <c r="A329" s="3">
        <v>10328</v>
      </c>
      <c r="B329" s="1">
        <v>45727</v>
      </c>
      <c r="C329" s="3" t="s">
        <v>199</v>
      </c>
      <c r="D329" s="3" t="s">
        <v>7</v>
      </c>
      <c r="E329" t="s">
        <v>249</v>
      </c>
      <c r="F329" t="s">
        <v>15</v>
      </c>
      <c r="G329" t="str">
        <f>IF(ISBLANK(Table1[[#This Row],[State]]),"Unknown",Table1[[#This Row],[State]])</f>
        <v>Maharashtra</v>
      </c>
      <c r="H329" t="s">
        <v>2</v>
      </c>
      <c r="I329" t="s">
        <v>3</v>
      </c>
      <c r="J329" t="str">
        <f>IF(ISBLANK(Table1[[#This Row],[Product]]),"Unknown",Table1[[#This Row],[Product]])</f>
        <v>T-Shirt</v>
      </c>
      <c r="K329" s="3">
        <v>2</v>
      </c>
      <c r="L329" s="10">
        <v>1999</v>
      </c>
      <c r="N329" t="str">
        <f>IF(ISBLANK(Table1[[#This Row],[Payment method]]),"Unknown",Table1[[#This Row],[Payment method]])</f>
        <v>Unknown</v>
      </c>
      <c r="O329" t="s">
        <v>12</v>
      </c>
      <c r="P329" t="str">
        <f>IF(Table1[[#This Row],[Unit price]]&gt;2000,"High Price","Standard Price")</f>
        <v>Standard Price</v>
      </c>
    </row>
    <row r="330" spans="1:16" x14ac:dyDescent="0.3">
      <c r="A330" s="3">
        <v>10329</v>
      </c>
      <c r="B330" s="1">
        <v>45762</v>
      </c>
      <c r="C330" s="3" t="s">
        <v>187</v>
      </c>
      <c r="D330" s="3" t="s">
        <v>43</v>
      </c>
      <c r="E330" t="s">
        <v>35</v>
      </c>
      <c r="F330" t="s">
        <v>36</v>
      </c>
      <c r="G330" t="str">
        <f>IF(ISBLANK(Table1[[#This Row],[State]]),"Unknown",Table1[[#This Row],[State]])</f>
        <v>Maharastra</v>
      </c>
      <c r="H330" t="s">
        <v>2</v>
      </c>
      <c r="I330" t="s">
        <v>24</v>
      </c>
      <c r="J330" t="str">
        <f>IF(ISBLANK(Table1[[#This Row],[Product]]),"Unknown",Table1[[#This Row],[Product]])</f>
        <v>Jeans</v>
      </c>
      <c r="K330" s="3">
        <v>1</v>
      </c>
      <c r="L330" s="10">
        <v>499</v>
      </c>
      <c r="M330" t="s">
        <v>11</v>
      </c>
      <c r="N330" t="str">
        <f>IF(ISBLANK(Table1[[#This Row],[Payment method]]),"Unknown",Table1[[#This Row],[Payment method]])</f>
        <v>Cash on Delivery</v>
      </c>
      <c r="O330" t="s">
        <v>17</v>
      </c>
      <c r="P330" t="str">
        <f>IF(Table1[[#This Row],[Unit price]]&gt;2000,"High Price","Standard Price")</f>
        <v>Standard Price</v>
      </c>
    </row>
    <row r="331" spans="1:16" x14ac:dyDescent="0.3">
      <c r="A331" s="3">
        <v>10330</v>
      </c>
      <c r="B331" s="1">
        <v>45684</v>
      </c>
      <c r="C331" s="3" t="s">
        <v>55</v>
      </c>
      <c r="D331" s="3" t="s">
        <v>57</v>
      </c>
      <c r="E331" t="s">
        <v>248</v>
      </c>
      <c r="F331" t="s">
        <v>52</v>
      </c>
      <c r="G331" t="str">
        <f>IF(ISBLANK(Table1[[#This Row],[State]]),"Unknown",Table1[[#This Row],[State]])</f>
        <v>Karnataka</v>
      </c>
      <c r="H331" t="s">
        <v>9</v>
      </c>
      <c r="I331" t="s">
        <v>10</v>
      </c>
      <c r="J331" t="str">
        <f>IF(ISBLANK(Table1[[#This Row],[Product]]),"Unknown",Table1[[#This Row],[Product]])</f>
        <v>Chair</v>
      </c>
      <c r="K331" s="3">
        <v>2</v>
      </c>
      <c r="L331" s="10">
        <v>299</v>
      </c>
      <c r="M331" t="s">
        <v>4</v>
      </c>
      <c r="N331" t="str">
        <f>IF(ISBLANK(Table1[[#This Row],[Payment method]]),"Unknown",Table1[[#This Row],[Payment method]])</f>
        <v>Net Banking</v>
      </c>
      <c r="O331" t="s">
        <v>17</v>
      </c>
      <c r="P331" t="str">
        <f>IF(Table1[[#This Row],[Unit price]]&gt;2000,"High Price","Standard Price")</f>
        <v>Standard Price</v>
      </c>
    </row>
    <row r="332" spans="1:16" x14ac:dyDescent="0.3">
      <c r="A332" s="3">
        <v>10331</v>
      </c>
      <c r="B332" s="1">
        <v>45720</v>
      </c>
      <c r="C332" s="3" t="s">
        <v>138</v>
      </c>
      <c r="D332" s="3" t="s">
        <v>1</v>
      </c>
      <c r="E332" t="s">
        <v>247</v>
      </c>
      <c r="F332" t="s">
        <v>15</v>
      </c>
      <c r="G332" t="str">
        <f>IF(ISBLANK(Table1[[#This Row],[State]]),"Unknown",Table1[[#This Row],[State]])</f>
        <v>Maharashtra</v>
      </c>
      <c r="H332" t="s">
        <v>33</v>
      </c>
      <c r="I332" t="s">
        <v>49</v>
      </c>
      <c r="J332" t="str">
        <f>IF(ISBLANK(Table1[[#This Row],[Product]]),"Unknown",Table1[[#This Row],[Product]])</f>
        <v>Keyboard</v>
      </c>
      <c r="K332" s="3">
        <v>1</v>
      </c>
      <c r="L332" s="10">
        <v>299</v>
      </c>
      <c r="N332" t="str">
        <f>IF(ISBLANK(Table1[[#This Row],[Payment method]]),"Unknown",Table1[[#This Row],[Payment method]])</f>
        <v>Unknown</v>
      </c>
      <c r="O332" t="s">
        <v>12</v>
      </c>
      <c r="P332" t="str">
        <f>IF(Table1[[#This Row],[Unit price]]&gt;2000,"High Price","Standard Price")</f>
        <v>Standard Price</v>
      </c>
    </row>
    <row r="333" spans="1:16" x14ac:dyDescent="0.3">
      <c r="A333" s="3">
        <v>10332</v>
      </c>
      <c r="B333" s="1">
        <v>45689</v>
      </c>
      <c r="C333" s="3" t="s">
        <v>147</v>
      </c>
      <c r="D333" s="3" t="s">
        <v>57</v>
      </c>
      <c r="E333" t="s">
        <v>247</v>
      </c>
      <c r="F333" t="s">
        <v>36</v>
      </c>
      <c r="G333" t="str">
        <f>IF(ISBLANK(Table1[[#This Row],[State]]),"Unknown",Table1[[#This Row],[State]])</f>
        <v>Maharastra</v>
      </c>
      <c r="H333" t="s">
        <v>33</v>
      </c>
      <c r="J333" t="str">
        <f>IF(ISBLANK(Table1[[#This Row],[Product]]),"Unknown",Table1[[#This Row],[Product]])</f>
        <v>Unknown</v>
      </c>
      <c r="K333" s="3">
        <v>3</v>
      </c>
      <c r="L333" s="10">
        <v>499</v>
      </c>
      <c r="M333" t="s">
        <v>11</v>
      </c>
      <c r="N333" t="str">
        <f>IF(ISBLANK(Table1[[#This Row],[Payment method]]),"Unknown",Table1[[#This Row],[Payment method]])</f>
        <v>Cash on Delivery</v>
      </c>
      <c r="O333" t="s">
        <v>12</v>
      </c>
      <c r="P333" t="str">
        <f>IF(Table1[[#This Row],[Unit price]]&gt;2000,"High Price","Standard Price")</f>
        <v>Standard Price</v>
      </c>
    </row>
    <row r="334" spans="1:16" x14ac:dyDescent="0.3">
      <c r="A334" s="3">
        <v>10333</v>
      </c>
      <c r="B334" s="1">
        <v>45712</v>
      </c>
      <c r="C334" s="3" t="s">
        <v>190</v>
      </c>
      <c r="D334" s="3" t="s">
        <v>14</v>
      </c>
      <c r="E334" t="s">
        <v>20</v>
      </c>
      <c r="F334" t="s">
        <v>20</v>
      </c>
      <c r="G334" t="str">
        <f>IF(ISBLANK(Table1[[#This Row],[State]]),"Unknown",Table1[[#This Row],[State]])</f>
        <v>Delhi</v>
      </c>
      <c r="H334" t="s">
        <v>2</v>
      </c>
      <c r="I334" t="s">
        <v>24</v>
      </c>
      <c r="J334" t="str">
        <f>IF(ISBLANK(Table1[[#This Row],[Product]]),"Unknown",Table1[[#This Row],[Product]])</f>
        <v>Jeans</v>
      </c>
      <c r="K334" s="3">
        <v>2</v>
      </c>
      <c r="L334" s="10">
        <v>499</v>
      </c>
      <c r="M334" t="s">
        <v>4</v>
      </c>
      <c r="N334" t="str">
        <f>IF(ISBLANK(Table1[[#This Row],[Payment method]]),"Unknown",Table1[[#This Row],[Payment method]])</f>
        <v>Net Banking</v>
      </c>
      <c r="O334" t="s">
        <v>17</v>
      </c>
      <c r="P334" t="str">
        <f>IF(Table1[[#This Row],[Unit price]]&gt;2000,"High Price","Standard Price")</f>
        <v>Standard Price</v>
      </c>
    </row>
    <row r="335" spans="1:16" x14ac:dyDescent="0.3">
      <c r="A335" s="3">
        <v>10334</v>
      </c>
      <c r="B335" s="1">
        <v>45782</v>
      </c>
      <c r="C335" s="3" t="s">
        <v>200</v>
      </c>
      <c r="D335" s="3" t="s">
        <v>14</v>
      </c>
      <c r="E335" t="s">
        <v>20</v>
      </c>
      <c r="F335" t="s">
        <v>20</v>
      </c>
      <c r="G335" t="str">
        <f>IF(ISBLANK(Table1[[#This Row],[State]]),"Unknown",Table1[[#This Row],[State]])</f>
        <v>Delhi</v>
      </c>
      <c r="H335" t="s">
        <v>9</v>
      </c>
      <c r="I335" t="s">
        <v>16</v>
      </c>
      <c r="J335" t="str">
        <f>IF(ISBLANK(Table1[[#This Row],[Product]]),"Unknown",Table1[[#This Row],[Product]])</f>
        <v>Lamp</v>
      </c>
      <c r="K335" s="3">
        <v>4</v>
      </c>
      <c r="L335" s="10">
        <v>799</v>
      </c>
      <c r="N335" t="str">
        <f>IF(ISBLANK(Table1[[#This Row],[Payment method]]),"Unknown",Table1[[#This Row],[Payment method]])</f>
        <v>Unknown</v>
      </c>
      <c r="O335" t="s">
        <v>17</v>
      </c>
      <c r="P335" t="str">
        <f>IF(Table1[[#This Row],[Unit price]]&gt;2000,"High Price","Standard Price")</f>
        <v>Standard Price</v>
      </c>
    </row>
    <row r="336" spans="1:16" x14ac:dyDescent="0.3">
      <c r="A336" s="3">
        <v>10335</v>
      </c>
      <c r="B336" s="1">
        <v>45805</v>
      </c>
      <c r="C336" s="3" t="s">
        <v>156</v>
      </c>
      <c r="D336" s="3" t="s">
        <v>23</v>
      </c>
      <c r="E336" t="s">
        <v>249</v>
      </c>
      <c r="F336" t="s">
        <v>15</v>
      </c>
      <c r="G336" t="str">
        <f>IF(ISBLANK(Table1[[#This Row],[State]]),"Unknown",Table1[[#This Row],[State]])</f>
        <v>Maharashtra</v>
      </c>
      <c r="H336" t="s">
        <v>33</v>
      </c>
      <c r="I336" t="s">
        <v>37</v>
      </c>
      <c r="J336" t="str">
        <f>IF(ISBLANK(Table1[[#This Row],[Product]]),"Unknown",Table1[[#This Row],[Product]])</f>
        <v>Mouse</v>
      </c>
      <c r="K336" s="3">
        <v>2</v>
      </c>
      <c r="L336" s="10">
        <v>1299</v>
      </c>
      <c r="M336" t="s">
        <v>11</v>
      </c>
      <c r="N336" t="str">
        <f>IF(ISBLANK(Table1[[#This Row],[Payment method]]),"Unknown",Table1[[#This Row],[Payment method]])</f>
        <v>Cash on Delivery</v>
      </c>
      <c r="O336" t="s">
        <v>58</v>
      </c>
      <c r="P336" t="str">
        <f>IF(Table1[[#This Row],[Unit price]]&gt;2000,"High Price","Standard Price")</f>
        <v>Standard Price</v>
      </c>
    </row>
    <row r="337" spans="1:16" x14ac:dyDescent="0.3">
      <c r="A337" s="3">
        <v>10336</v>
      </c>
      <c r="B337" s="1">
        <v>45821</v>
      </c>
      <c r="C337" s="3" t="s">
        <v>111</v>
      </c>
      <c r="D337" s="3" t="s">
        <v>39</v>
      </c>
      <c r="E337" t="s">
        <v>20</v>
      </c>
      <c r="F337" t="s">
        <v>20</v>
      </c>
      <c r="G337" t="str">
        <f>IF(ISBLANK(Table1[[#This Row],[State]]),"Unknown",Table1[[#This Row],[State]])</f>
        <v>Delhi</v>
      </c>
      <c r="H337" t="s">
        <v>2</v>
      </c>
      <c r="I337" t="s">
        <v>24</v>
      </c>
      <c r="J337" t="str">
        <f>IF(ISBLANK(Table1[[#This Row],[Product]]),"Unknown",Table1[[#This Row],[Product]])</f>
        <v>Jeans</v>
      </c>
      <c r="K337" s="3">
        <v>2</v>
      </c>
      <c r="L337" s="10">
        <v>799</v>
      </c>
      <c r="N337" t="str">
        <f>IF(ISBLANK(Table1[[#This Row],[Payment method]]),"Unknown",Table1[[#This Row],[Payment method]])</f>
        <v>Unknown</v>
      </c>
      <c r="O337" t="s">
        <v>17</v>
      </c>
      <c r="P337" t="str">
        <f>IF(Table1[[#This Row],[Unit price]]&gt;2000,"High Price","Standard Price")</f>
        <v>Standard Price</v>
      </c>
    </row>
    <row r="338" spans="1:16" x14ac:dyDescent="0.3">
      <c r="A338" s="3">
        <v>10337</v>
      </c>
      <c r="B338" s="1">
        <v>45740</v>
      </c>
      <c r="C338" s="3" t="s">
        <v>79</v>
      </c>
      <c r="D338" s="3" t="s">
        <v>14</v>
      </c>
      <c r="E338" t="s">
        <v>8</v>
      </c>
      <c r="F338" t="s">
        <v>52</v>
      </c>
      <c r="G338" t="str">
        <f>IF(ISBLANK(Table1[[#This Row],[State]]),"Unknown",Table1[[#This Row],[State]])</f>
        <v>Karnataka</v>
      </c>
      <c r="H338" t="s">
        <v>33</v>
      </c>
      <c r="I338" t="s">
        <v>21</v>
      </c>
      <c r="J338" t="str">
        <f>IF(ISBLANK(Table1[[#This Row],[Product]]),"Unknown",Table1[[#This Row],[Product]])</f>
        <v>Headphones</v>
      </c>
      <c r="K338" s="3">
        <v>5</v>
      </c>
      <c r="L338" s="10">
        <v>999999</v>
      </c>
      <c r="N338" t="str">
        <f>IF(ISBLANK(Table1[[#This Row],[Payment method]]),"Unknown",Table1[[#This Row],[Payment method]])</f>
        <v>Unknown</v>
      </c>
      <c r="O338" t="s">
        <v>58</v>
      </c>
      <c r="P338" t="str">
        <f>IF(Table1[[#This Row],[Unit price]]&gt;2000,"High Price","Standard Price")</f>
        <v>High Price</v>
      </c>
    </row>
    <row r="339" spans="1:16" x14ac:dyDescent="0.3">
      <c r="A339" s="3">
        <v>10338</v>
      </c>
      <c r="B339" s="1">
        <v>45825</v>
      </c>
      <c r="C339" s="3" t="s">
        <v>201</v>
      </c>
      <c r="D339" s="3" t="s">
        <v>23</v>
      </c>
      <c r="E339" t="s">
        <v>32</v>
      </c>
      <c r="F339" t="s">
        <v>15</v>
      </c>
      <c r="G339" t="str">
        <f>IF(ISBLANK(Table1[[#This Row],[State]]),"Unknown",Table1[[#This Row],[State]])</f>
        <v>Maharashtra</v>
      </c>
      <c r="H339" t="s">
        <v>33</v>
      </c>
      <c r="J339" t="str">
        <f>IF(ISBLANK(Table1[[#This Row],[Product]]),"Unknown",Table1[[#This Row],[Product]])</f>
        <v>Unknown</v>
      </c>
      <c r="K339" s="3">
        <v>1</v>
      </c>
      <c r="L339" s="10">
        <v>499</v>
      </c>
      <c r="M339" t="s">
        <v>26</v>
      </c>
      <c r="N339" t="str">
        <f>IF(ISBLANK(Table1[[#This Row],[Payment method]]),"Unknown",Table1[[#This Row],[Payment method]])</f>
        <v>Card</v>
      </c>
      <c r="O339" t="s">
        <v>58</v>
      </c>
      <c r="P339" t="str">
        <f>IF(Table1[[#This Row],[Unit price]]&gt;2000,"High Price","Standard Price")</f>
        <v>Standard Price</v>
      </c>
    </row>
    <row r="340" spans="1:16" x14ac:dyDescent="0.3">
      <c r="A340" s="3">
        <v>10339</v>
      </c>
      <c r="B340" s="1">
        <v>45692</v>
      </c>
      <c r="C340" s="3" t="s">
        <v>155</v>
      </c>
      <c r="D340" s="3" t="s">
        <v>23</v>
      </c>
      <c r="E340" t="s">
        <v>8</v>
      </c>
      <c r="F340" t="s">
        <v>52</v>
      </c>
      <c r="G340" t="str">
        <f>IF(ISBLANK(Table1[[#This Row],[State]]),"Unknown",Table1[[#This Row],[State]])</f>
        <v>Karnataka</v>
      </c>
      <c r="H340" t="s">
        <v>2</v>
      </c>
      <c r="I340" t="s">
        <v>3</v>
      </c>
      <c r="J340" t="str">
        <f>IF(ISBLANK(Table1[[#This Row],[Product]]),"Unknown",Table1[[#This Row],[Product]])</f>
        <v>T-Shirt</v>
      </c>
      <c r="K340" s="3">
        <v>4</v>
      </c>
      <c r="L340" s="10">
        <v>1299</v>
      </c>
      <c r="N340" t="str">
        <f>IF(ISBLANK(Table1[[#This Row],[Payment method]]),"Unknown",Table1[[#This Row],[Payment method]])</f>
        <v>Unknown</v>
      </c>
      <c r="O340" t="s">
        <v>17</v>
      </c>
      <c r="P340" t="str">
        <f>IF(Table1[[#This Row],[Unit price]]&gt;2000,"High Price","Standard Price")</f>
        <v>Standard Price</v>
      </c>
    </row>
    <row r="341" spans="1:16" x14ac:dyDescent="0.3">
      <c r="A341" s="3">
        <v>10340</v>
      </c>
      <c r="B341" s="1">
        <v>45787</v>
      </c>
      <c r="C341" s="3" t="s">
        <v>114</v>
      </c>
      <c r="D341" s="3" t="s">
        <v>43</v>
      </c>
      <c r="E341" t="s">
        <v>20</v>
      </c>
      <c r="F341" t="s">
        <v>20</v>
      </c>
      <c r="G341" t="str">
        <f>IF(ISBLANK(Table1[[#This Row],[State]]),"Unknown",Table1[[#This Row],[State]])</f>
        <v>Delhi</v>
      </c>
      <c r="H341" t="s">
        <v>9</v>
      </c>
      <c r="I341" t="s">
        <v>10</v>
      </c>
      <c r="J341" t="str">
        <f>IF(ISBLANK(Table1[[#This Row],[Product]]),"Unknown",Table1[[#This Row],[Product]])</f>
        <v>Chair</v>
      </c>
      <c r="K341" s="3">
        <v>2</v>
      </c>
      <c r="L341" s="10">
        <v>1999</v>
      </c>
      <c r="N341" t="str">
        <f>IF(ISBLANK(Table1[[#This Row],[Payment method]]),"Unknown",Table1[[#This Row],[Payment method]])</f>
        <v>Unknown</v>
      </c>
      <c r="O341" t="s">
        <v>12</v>
      </c>
      <c r="P341" t="str">
        <f>IF(Table1[[#This Row],[Unit price]]&gt;2000,"High Price","Standard Price")</f>
        <v>Standard Price</v>
      </c>
    </row>
    <row r="342" spans="1:16" x14ac:dyDescent="0.3">
      <c r="A342" s="3">
        <v>10341</v>
      </c>
      <c r="B342" s="1">
        <v>45772</v>
      </c>
      <c r="C342" s="3" t="s">
        <v>90</v>
      </c>
      <c r="D342" s="3" t="s">
        <v>43</v>
      </c>
      <c r="E342" t="s">
        <v>32</v>
      </c>
      <c r="F342" t="s">
        <v>15</v>
      </c>
      <c r="G342" t="str">
        <f>IF(ISBLANK(Table1[[#This Row],[State]]),"Unknown",Table1[[#This Row],[State]])</f>
        <v>Maharashtra</v>
      </c>
      <c r="H342" t="s">
        <v>9</v>
      </c>
      <c r="I342" t="s">
        <v>16</v>
      </c>
      <c r="J342" t="str">
        <f>IF(ISBLANK(Table1[[#This Row],[Product]]),"Unknown",Table1[[#This Row],[Product]])</f>
        <v>Lamp</v>
      </c>
      <c r="K342" s="3">
        <v>3</v>
      </c>
      <c r="L342" s="10">
        <v>1299</v>
      </c>
      <c r="M342" t="s">
        <v>26</v>
      </c>
      <c r="N342" t="str">
        <f>IF(ISBLANK(Table1[[#This Row],[Payment method]]),"Unknown",Table1[[#This Row],[Payment method]])</f>
        <v>Card</v>
      </c>
      <c r="O342" t="s">
        <v>58</v>
      </c>
      <c r="P342" t="str">
        <f>IF(Table1[[#This Row],[Unit price]]&gt;2000,"High Price","Standard Price")</f>
        <v>Standard Price</v>
      </c>
    </row>
    <row r="343" spans="1:16" x14ac:dyDescent="0.3">
      <c r="A343" s="3">
        <v>10342</v>
      </c>
      <c r="B343" s="1">
        <v>45696</v>
      </c>
      <c r="C343" s="3" t="s">
        <v>90</v>
      </c>
      <c r="D343" s="3" t="s">
        <v>43</v>
      </c>
      <c r="E343" t="s">
        <v>20</v>
      </c>
      <c r="F343" t="s">
        <v>20</v>
      </c>
      <c r="G343" t="str">
        <f>IF(ISBLANK(Table1[[#This Row],[State]]),"Unknown",Table1[[#This Row],[State]])</f>
        <v>Delhi</v>
      </c>
      <c r="H343" t="s">
        <v>9</v>
      </c>
      <c r="I343" t="s">
        <v>10</v>
      </c>
      <c r="J343" t="str">
        <f>IF(ISBLANK(Table1[[#This Row],[Product]]),"Unknown",Table1[[#This Row],[Product]])</f>
        <v>Chair</v>
      </c>
      <c r="K343" s="3">
        <v>2</v>
      </c>
      <c r="L343" s="10">
        <v>499</v>
      </c>
      <c r="N343" t="str">
        <f>IF(ISBLANK(Table1[[#This Row],[Payment method]]),"Unknown",Table1[[#This Row],[Payment method]])</f>
        <v>Unknown</v>
      </c>
      <c r="O343" t="s">
        <v>58</v>
      </c>
      <c r="P343" t="str">
        <f>IF(Table1[[#This Row],[Unit price]]&gt;2000,"High Price","Standard Price")</f>
        <v>Standard Price</v>
      </c>
    </row>
    <row r="344" spans="1:16" x14ac:dyDescent="0.3">
      <c r="A344" s="3">
        <v>10343</v>
      </c>
      <c r="B344" s="1">
        <v>45837</v>
      </c>
      <c r="C344" s="3" t="s">
        <v>62</v>
      </c>
      <c r="D344" s="3" t="s">
        <v>57</v>
      </c>
      <c r="E344" t="s">
        <v>20</v>
      </c>
      <c r="F344" t="s">
        <v>20</v>
      </c>
      <c r="G344" t="str">
        <f>IF(ISBLANK(Table1[[#This Row],[State]]),"Unknown",Table1[[#This Row],[State]])</f>
        <v>Delhi</v>
      </c>
      <c r="H344" t="s">
        <v>9</v>
      </c>
      <c r="I344" t="s">
        <v>10</v>
      </c>
      <c r="J344" t="str">
        <f>IF(ISBLANK(Table1[[#This Row],[Product]]),"Unknown",Table1[[#This Row],[Product]])</f>
        <v>Chair</v>
      </c>
      <c r="K344" s="3">
        <v>3</v>
      </c>
      <c r="L344" s="10">
        <v>1999</v>
      </c>
      <c r="N344" t="str">
        <f>IF(ISBLANK(Table1[[#This Row],[Payment method]]),"Unknown",Table1[[#This Row],[Payment method]])</f>
        <v>Unknown</v>
      </c>
      <c r="O344" t="s">
        <v>58</v>
      </c>
      <c r="P344" t="str">
        <f>IF(Table1[[#This Row],[Unit price]]&gt;2000,"High Price","Standard Price")</f>
        <v>Standard Price</v>
      </c>
    </row>
    <row r="345" spans="1:16" x14ac:dyDescent="0.3">
      <c r="A345" s="3">
        <v>10344</v>
      </c>
      <c r="B345" s="1">
        <v>45667</v>
      </c>
      <c r="C345" s="3" t="s">
        <v>202</v>
      </c>
      <c r="D345" s="3" t="s">
        <v>19</v>
      </c>
      <c r="E345" t="s">
        <v>20</v>
      </c>
      <c r="F345" t="s">
        <v>20</v>
      </c>
      <c r="G345" t="str">
        <f>IF(ISBLANK(Table1[[#This Row],[State]]),"Unknown",Table1[[#This Row],[State]])</f>
        <v>Delhi</v>
      </c>
      <c r="H345" t="s">
        <v>9</v>
      </c>
      <c r="I345" t="s">
        <v>16</v>
      </c>
      <c r="J345" t="str">
        <f>IF(ISBLANK(Table1[[#This Row],[Product]]),"Unknown",Table1[[#This Row],[Product]])</f>
        <v>Lamp</v>
      </c>
      <c r="K345" s="3">
        <v>3</v>
      </c>
      <c r="L345" s="10">
        <v>299</v>
      </c>
      <c r="M345" t="s">
        <v>11</v>
      </c>
      <c r="N345" t="str">
        <f>IF(ISBLANK(Table1[[#This Row],[Payment method]]),"Unknown",Table1[[#This Row],[Payment method]])</f>
        <v>Cash on Delivery</v>
      </c>
      <c r="O345" t="s">
        <v>17</v>
      </c>
      <c r="P345" t="str">
        <f>IF(Table1[[#This Row],[Unit price]]&gt;2000,"High Price","Standard Price")</f>
        <v>Standard Price</v>
      </c>
    </row>
    <row r="346" spans="1:16" x14ac:dyDescent="0.3">
      <c r="A346" s="3">
        <v>10345</v>
      </c>
      <c r="B346" s="1">
        <v>45737</v>
      </c>
      <c r="C346" s="3" t="s">
        <v>161</v>
      </c>
      <c r="D346" s="3" t="s">
        <v>23</v>
      </c>
      <c r="E346" t="s">
        <v>8</v>
      </c>
      <c r="F346" t="s">
        <v>52</v>
      </c>
      <c r="G346" t="str">
        <f>IF(ISBLANK(Table1[[#This Row],[State]]),"Unknown",Table1[[#This Row],[State]])</f>
        <v>Karnataka</v>
      </c>
      <c r="H346" t="s">
        <v>9</v>
      </c>
      <c r="I346" t="s">
        <v>10</v>
      </c>
      <c r="J346" t="str">
        <f>IF(ISBLANK(Table1[[#This Row],[Product]]),"Unknown",Table1[[#This Row],[Product]])</f>
        <v>Chair</v>
      </c>
      <c r="K346" s="3">
        <v>3</v>
      </c>
      <c r="L346" s="10">
        <v>799</v>
      </c>
      <c r="N346" t="str">
        <f>IF(ISBLANK(Table1[[#This Row],[Payment method]]),"Unknown",Table1[[#This Row],[Payment method]])</f>
        <v>Unknown</v>
      </c>
      <c r="O346" t="s">
        <v>17</v>
      </c>
      <c r="P346" t="str">
        <f>IF(Table1[[#This Row],[Unit price]]&gt;2000,"High Price","Standard Price")</f>
        <v>Standard Price</v>
      </c>
    </row>
    <row r="347" spans="1:16" x14ac:dyDescent="0.3">
      <c r="A347" s="3">
        <v>10346</v>
      </c>
      <c r="B347" s="1">
        <v>45812</v>
      </c>
      <c r="C347" s="3" t="s">
        <v>86</v>
      </c>
      <c r="D347" s="3" t="s">
        <v>57</v>
      </c>
      <c r="E347" t="s">
        <v>247</v>
      </c>
      <c r="F347" t="s">
        <v>15</v>
      </c>
      <c r="G347" t="str">
        <f>IF(ISBLANK(Table1[[#This Row],[State]]),"Unknown",Table1[[#This Row],[State]])</f>
        <v>Maharashtra</v>
      </c>
      <c r="H347" t="s">
        <v>33</v>
      </c>
      <c r="I347" t="s">
        <v>37</v>
      </c>
      <c r="J347" t="str">
        <f>IF(ISBLANK(Table1[[#This Row],[Product]]),"Unknown",Table1[[#This Row],[Product]])</f>
        <v>Mouse</v>
      </c>
      <c r="K347" s="3">
        <v>-2</v>
      </c>
      <c r="L347" s="10">
        <v>799</v>
      </c>
      <c r="N347" t="str">
        <f>IF(ISBLANK(Table1[[#This Row],[Payment method]]),"Unknown",Table1[[#This Row],[Payment method]])</f>
        <v>Unknown</v>
      </c>
      <c r="O347" t="s">
        <v>17</v>
      </c>
      <c r="P347" t="str">
        <f>IF(Table1[[#This Row],[Unit price]]&gt;2000,"High Price","Standard Price")</f>
        <v>Standard Price</v>
      </c>
    </row>
    <row r="348" spans="1:16" x14ac:dyDescent="0.3">
      <c r="A348" s="3">
        <v>10347</v>
      </c>
      <c r="B348" s="1">
        <v>45707</v>
      </c>
      <c r="C348" s="3" t="s">
        <v>198</v>
      </c>
      <c r="D348" s="3" t="s">
        <v>1</v>
      </c>
      <c r="E348" t="s">
        <v>248</v>
      </c>
      <c r="F348" t="s">
        <v>52</v>
      </c>
      <c r="G348" t="str">
        <f>IF(ISBLANK(Table1[[#This Row],[State]]),"Unknown",Table1[[#This Row],[State]])</f>
        <v>Karnataka</v>
      </c>
      <c r="H348" t="s">
        <v>2</v>
      </c>
      <c r="I348" t="s">
        <v>3</v>
      </c>
      <c r="J348" t="str">
        <f>IF(ISBLANK(Table1[[#This Row],[Product]]),"Unknown",Table1[[#This Row],[Product]])</f>
        <v>T-Shirt</v>
      </c>
      <c r="K348" s="3">
        <v>5</v>
      </c>
      <c r="L348" s="10">
        <v>499</v>
      </c>
      <c r="N348" t="str">
        <f>IF(ISBLANK(Table1[[#This Row],[Payment method]]),"Unknown",Table1[[#This Row],[Payment method]])</f>
        <v>Unknown</v>
      </c>
      <c r="O348" t="s">
        <v>17</v>
      </c>
      <c r="P348" t="str">
        <f>IF(Table1[[#This Row],[Unit price]]&gt;2000,"High Price","Standard Price")</f>
        <v>Standard Price</v>
      </c>
    </row>
    <row r="349" spans="1:16" x14ac:dyDescent="0.3">
      <c r="A349" s="3">
        <v>10348</v>
      </c>
      <c r="B349" s="1">
        <v>45808</v>
      </c>
      <c r="C349" s="3" t="s">
        <v>139</v>
      </c>
      <c r="D349" s="3" t="s">
        <v>43</v>
      </c>
      <c r="E349" t="s">
        <v>32</v>
      </c>
      <c r="F349" t="s">
        <v>36</v>
      </c>
      <c r="G349" t="str">
        <f>IF(ISBLANK(Table1[[#This Row],[State]]),"Unknown",Table1[[#This Row],[State]])</f>
        <v>Maharastra</v>
      </c>
      <c r="H349" t="s">
        <v>2</v>
      </c>
      <c r="I349" t="s">
        <v>3</v>
      </c>
      <c r="J349" t="str">
        <f>IF(ISBLANK(Table1[[#This Row],[Product]]),"Unknown",Table1[[#This Row],[Product]])</f>
        <v>T-Shirt</v>
      </c>
      <c r="K349" s="3">
        <v>4</v>
      </c>
      <c r="L349" s="10">
        <v>1299</v>
      </c>
      <c r="M349" t="s">
        <v>26</v>
      </c>
      <c r="N349" t="str">
        <f>IF(ISBLANK(Table1[[#This Row],[Payment method]]),"Unknown",Table1[[#This Row],[Payment method]])</f>
        <v>Card</v>
      </c>
      <c r="O349" t="s">
        <v>5</v>
      </c>
      <c r="P349" t="str">
        <f>IF(Table1[[#This Row],[Unit price]]&gt;2000,"High Price","Standard Price")</f>
        <v>Standard Price</v>
      </c>
    </row>
    <row r="350" spans="1:16" x14ac:dyDescent="0.3">
      <c r="A350" s="3">
        <v>10349</v>
      </c>
      <c r="B350" s="1">
        <v>45769</v>
      </c>
      <c r="C350" s="3" t="s">
        <v>103</v>
      </c>
      <c r="D350" s="3" t="s">
        <v>57</v>
      </c>
      <c r="E350" t="s">
        <v>8</v>
      </c>
      <c r="F350" t="s">
        <v>52</v>
      </c>
      <c r="G350" t="str">
        <f>IF(ISBLANK(Table1[[#This Row],[State]]),"Unknown",Table1[[#This Row],[State]])</f>
        <v>Karnataka</v>
      </c>
      <c r="H350" t="s">
        <v>33</v>
      </c>
      <c r="I350" t="s">
        <v>49</v>
      </c>
      <c r="J350" t="str">
        <f>IF(ISBLANK(Table1[[#This Row],[Product]]),"Unknown",Table1[[#This Row],[Product]])</f>
        <v>Keyboard</v>
      </c>
      <c r="K350" s="3">
        <v>1</v>
      </c>
      <c r="L350" s="10">
        <v>499</v>
      </c>
      <c r="M350" t="s">
        <v>11</v>
      </c>
      <c r="N350" t="str">
        <f>IF(ISBLANK(Table1[[#This Row],[Payment method]]),"Unknown",Table1[[#This Row],[Payment method]])</f>
        <v>Cash on Delivery</v>
      </c>
      <c r="O350" t="s">
        <v>5</v>
      </c>
      <c r="P350" t="str">
        <f>IF(Table1[[#This Row],[Unit price]]&gt;2000,"High Price","Standard Price")</f>
        <v>Standard Price</v>
      </c>
    </row>
    <row r="351" spans="1:16" x14ac:dyDescent="0.3">
      <c r="A351" s="3">
        <v>10350</v>
      </c>
      <c r="B351" s="1">
        <v>45833</v>
      </c>
      <c r="C351" s="3" t="s">
        <v>190</v>
      </c>
      <c r="D351" s="3" t="s">
        <v>7</v>
      </c>
      <c r="E351" t="s">
        <v>35</v>
      </c>
      <c r="F351" t="s">
        <v>15</v>
      </c>
      <c r="G351" t="str">
        <f>IF(ISBLANK(Table1[[#This Row],[State]]),"Unknown",Table1[[#This Row],[State]])</f>
        <v>Maharashtra</v>
      </c>
      <c r="H351" t="s">
        <v>33</v>
      </c>
      <c r="I351" t="s">
        <v>37</v>
      </c>
      <c r="J351" t="str">
        <f>IF(ISBLANK(Table1[[#This Row],[Product]]),"Unknown",Table1[[#This Row],[Product]])</f>
        <v>Mouse</v>
      </c>
      <c r="K351" s="3">
        <v>5</v>
      </c>
      <c r="L351" s="10">
        <v>1299</v>
      </c>
      <c r="M351" t="s">
        <v>4</v>
      </c>
      <c r="N351" t="str">
        <f>IF(ISBLANK(Table1[[#This Row],[Payment method]]),"Unknown",Table1[[#This Row],[Payment method]])</f>
        <v>Net Banking</v>
      </c>
      <c r="O351" t="s">
        <v>5</v>
      </c>
      <c r="P351" t="str">
        <f>IF(Table1[[#This Row],[Unit price]]&gt;2000,"High Price","Standard Price")</f>
        <v>Standard Price</v>
      </c>
    </row>
    <row r="352" spans="1:16" x14ac:dyDescent="0.3">
      <c r="A352" s="3">
        <v>10351</v>
      </c>
      <c r="B352" s="1">
        <v>45726</v>
      </c>
      <c r="C352" s="3" t="s">
        <v>129</v>
      </c>
      <c r="D352" s="3" t="s">
        <v>43</v>
      </c>
      <c r="E352" t="s">
        <v>248</v>
      </c>
      <c r="F352" t="s">
        <v>52</v>
      </c>
      <c r="G352" t="str">
        <f>IF(ISBLANK(Table1[[#This Row],[State]]),"Unknown",Table1[[#This Row],[State]])</f>
        <v>Karnataka</v>
      </c>
      <c r="H352" t="s">
        <v>33</v>
      </c>
      <c r="I352" t="s">
        <v>37</v>
      </c>
      <c r="J352" t="str">
        <f>IF(ISBLANK(Table1[[#This Row],[Product]]),"Unknown",Table1[[#This Row],[Product]])</f>
        <v>Mouse</v>
      </c>
      <c r="K352" s="3">
        <v>5</v>
      </c>
      <c r="L352" s="10">
        <v>1299</v>
      </c>
      <c r="M352" t="s">
        <v>26</v>
      </c>
      <c r="N352" t="str">
        <f>IF(ISBLANK(Table1[[#This Row],[Payment method]]),"Unknown",Table1[[#This Row],[Payment method]])</f>
        <v>Card</v>
      </c>
      <c r="O352" t="s">
        <v>5</v>
      </c>
      <c r="P352" t="str">
        <f>IF(Table1[[#This Row],[Unit price]]&gt;2000,"High Price","Standard Price")</f>
        <v>Standard Price</v>
      </c>
    </row>
    <row r="353" spans="1:16" x14ac:dyDescent="0.3">
      <c r="A353" s="3">
        <v>10352</v>
      </c>
      <c r="B353" s="1">
        <v>45822</v>
      </c>
      <c r="C353" s="3" t="s">
        <v>186</v>
      </c>
      <c r="D353" s="3" t="s">
        <v>23</v>
      </c>
      <c r="E353" t="s">
        <v>45</v>
      </c>
      <c r="F353" t="s">
        <v>54</v>
      </c>
      <c r="G353" t="str">
        <f>IF(ISBLANK(Table1[[#This Row],[State]]),"Unknown",Table1[[#This Row],[State]])</f>
        <v>Uttar Pradesh</v>
      </c>
      <c r="H353" t="s">
        <v>33</v>
      </c>
      <c r="I353" t="s">
        <v>49</v>
      </c>
      <c r="J353" t="str">
        <f>IF(ISBLANK(Table1[[#This Row],[Product]]),"Unknown",Table1[[#This Row],[Product]])</f>
        <v>Keyboard</v>
      </c>
      <c r="K353" s="3">
        <v>1</v>
      </c>
      <c r="L353" s="10">
        <v>1999</v>
      </c>
      <c r="M353" t="s">
        <v>11</v>
      </c>
      <c r="N353" t="str">
        <f>IF(ISBLANK(Table1[[#This Row],[Payment method]]),"Unknown",Table1[[#This Row],[Payment method]])</f>
        <v>Cash on Delivery</v>
      </c>
      <c r="O353" t="s">
        <v>12</v>
      </c>
      <c r="P353" t="str">
        <f>IF(Table1[[#This Row],[Unit price]]&gt;2000,"High Price","Standard Price")</f>
        <v>Standard Price</v>
      </c>
    </row>
    <row r="354" spans="1:16" x14ac:dyDescent="0.3">
      <c r="A354" s="3">
        <v>10353</v>
      </c>
      <c r="B354" s="1">
        <v>45738</v>
      </c>
      <c r="C354" s="3" t="s">
        <v>169</v>
      </c>
      <c r="D354" s="3" t="s">
        <v>1</v>
      </c>
      <c r="E354" t="s">
        <v>45</v>
      </c>
      <c r="F354" t="s">
        <v>54</v>
      </c>
      <c r="G354" t="str">
        <f>IF(ISBLANK(Table1[[#This Row],[State]]),"Unknown",Table1[[#This Row],[State]])</f>
        <v>Uttar Pradesh</v>
      </c>
      <c r="H354" t="s">
        <v>9</v>
      </c>
      <c r="I354" t="s">
        <v>16</v>
      </c>
      <c r="J354" t="str">
        <f>IF(ISBLANK(Table1[[#This Row],[Product]]),"Unknown",Table1[[#This Row],[Product]])</f>
        <v>Lamp</v>
      </c>
      <c r="K354" s="3">
        <v>5</v>
      </c>
      <c r="L354" s="10">
        <v>799</v>
      </c>
      <c r="M354" t="s">
        <v>11</v>
      </c>
      <c r="N354" t="str">
        <f>IF(ISBLANK(Table1[[#This Row],[Payment method]]),"Unknown",Table1[[#This Row],[Payment method]])</f>
        <v>Cash on Delivery</v>
      </c>
      <c r="O354" t="s">
        <v>17</v>
      </c>
      <c r="P354" t="str">
        <f>IF(Table1[[#This Row],[Unit price]]&gt;2000,"High Price","Standard Price")</f>
        <v>Standard Price</v>
      </c>
    </row>
    <row r="355" spans="1:16" x14ac:dyDescent="0.3">
      <c r="A355" s="3">
        <v>10354</v>
      </c>
      <c r="B355" s="1">
        <v>45739</v>
      </c>
      <c r="C355" s="3" t="s">
        <v>86</v>
      </c>
      <c r="D355" s="3" t="s">
        <v>19</v>
      </c>
      <c r="E355" t="s">
        <v>20</v>
      </c>
      <c r="F355" t="s">
        <v>20</v>
      </c>
      <c r="G355" t="str">
        <f>IF(ISBLANK(Table1[[#This Row],[State]]),"Unknown",Table1[[#This Row],[State]])</f>
        <v>Delhi</v>
      </c>
      <c r="H355" t="s">
        <v>9</v>
      </c>
      <c r="I355" t="s">
        <v>16</v>
      </c>
      <c r="J355" t="str">
        <f>IF(ISBLANK(Table1[[#This Row],[Product]]),"Unknown",Table1[[#This Row],[Product]])</f>
        <v>Lamp</v>
      </c>
      <c r="K355" s="3">
        <v>2</v>
      </c>
      <c r="L355" s="10">
        <v>299</v>
      </c>
      <c r="N355" t="str">
        <f>IF(ISBLANK(Table1[[#This Row],[Payment method]]),"Unknown",Table1[[#This Row],[Payment method]])</f>
        <v>Unknown</v>
      </c>
      <c r="O355" t="s">
        <v>5</v>
      </c>
      <c r="P355" t="str">
        <f>IF(Table1[[#This Row],[Unit price]]&gt;2000,"High Price","Standard Price")</f>
        <v>Standard Price</v>
      </c>
    </row>
    <row r="356" spans="1:16" x14ac:dyDescent="0.3">
      <c r="A356" s="3">
        <v>10355</v>
      </c>
      <c r="B356" s="1">
        <v>45809</v>
      </c>
      <c r="C356" s="3" t="s">
        <v>85</v>
      </c>
      <c r="D356" s="3" t="s">
        <v>57</v>
      </c>
      <c r="E356" t="s">
        <v>45</v>
      </c>
      <c r="F356" t="s">
        <v>54</v>
      </c>
      <c r="G356" t="str">
        <f>IF(ISBLANK(Table1[[#This Row],[State]]),"Unknown",Table1[[#This Row],[State]])</f>
        <v>Uttar Pradesh</v>
      </c>
      <c r="H356" t="s">
        <v>9</v>
      </c>
      <c r="I356" t="s">
        <v>16</v>
      </c>
      <c r="J356" t="str">
        <f>IF(ISBLANK(Table1[[#This Row],[Product]]),"Unknown",Table1[[#This Row],[Product]])</f>
        <v>Lamp</v>
      </c>
      <c r="K356" s="3">
        <v>2</v>
      </c>
      <c r="L356" s="10">
        <v>1299</v>
      </c>
      <c r="N356" t="str">
        <f>IF(ISBLANK(Table1[[#This Row],[Payment method]]),"Unknown",Table1[[#This Row],[Payment method]])</f>
        <v>Unknown</v>
      </c>
      <c r="O356" t="s">
        <v>12</v>
      </c>
      <c r="P356" t="str">
        <f>IF(Table1[[#This Row],[Unit price]]&gt;2000,"High Price","Standard Price")</f>
        <v>Standard Price</v>
      </c>
    </row>
    <row r="357" spans="1:16" x14ac:dyDescent="0.3">
      <c r="A357" s="3">
        <v>10356</v>
      </c>
      <c r="B357" s="1">
        <v>45721</v>
      </c>
      <c r="C357" s="3" t="s">
        <v>149</v>
      </c>
      <c r="D357" s="3" t="s">
        <v>43</v>
      </c>
      <c r="E357" t="s">
        <v>20</v>
      </c>
      <c r="G357" t="str">
        <f>IF(ISBLANK(Table1[[#This Row],[State]]),"Unknown",Table1[[#This Row],[State]])</f>
        <v>Unknown</v>
      </c>
      <c r="H357" t="s">
        <v>9</v>
      </c>
      <c r="I357" t="s">
        <v>10</v>
      </c>
      <c r="J357" t="str">
        <f>IF(ISBLANK(Table1[[#This Row],[Product]]),"Unknown",Table1[[#This Row],[Product]])</f>
        <v>Chair</v>
      </c>
      <c r="K357" s="3">
        <v>1</v>
      </c>
      <c r="L357" s="10">
        <v>799</v>
      </c>
      <c r="M357" t="s">
        <v>4</v>
      </c>
      <c r="N357" t="str">
        <f>IF(ISBLANK(Table1[[#This Row],[Payment method]]),"Unknown",Table1[[#This Row],[Payment method]])</f>
        <v>Net Banking</v>
      </c>
      <c r="O357" t="s">
        <v>5</v>
      </c>
      <c r="P357" t="str">
        <f>IF(Table1[[#This Row],[Unit price]]&gt;2000,"High Price","Standard Price")</f>
        <v>Standard Price</v>
      </c>
    </row>
    <row r="358" spans="1:16" x14ac:dyDescent="0.3">
      <c r="A358" s="3">
        <v>10357</v>
      </c>
      <c r="B358" s="1">
        <v>45769</v>
      </c>
      <c r="C358" s="3" t="s">
        <v>152</v>
      </c>
      <c r="D358" s="3" t="s">
        <v>23</v>
      </c>
      <c r="E358" t="s">
        <v>247</v>
      </c>
      <c r="F358" t="s">
        <v>15</v>
      </c>
      <c r="G358" t="str">
        <f>IF(ISBLANK(Table1[[#This Row],[State]]),"Unknown",Table1[[#This Row],[State]])</f>
        <v>Maharashtra</v>
      </c>
      <c r="H358" t="s">
        <v>9</v>
      </c>
      <c r="I358" t="s">
        <v>16</v>
      </c>
      <c r="J358" t="str">
        <f>IF(ISBLANK(Table1[[#This Row],[Product]]),"Unknown",Table1[[#This Row],[Product]])</f>
        <v>Lamp</v>
      </c>
      <c r="K358" s="3">
        <v>5</v>
      </c>
      <c r="L358" s="10">
        <v>799</v>
      </c>
      <c r="M358" t="s">
        <v>4</v>
      </c>
      <c r="N358" t="str">
        <f>IF(ISBLANK(Table1[[#This Row],[Payment method]]),"Unknown",Table1[[#This Row],[Payment method]])</f>
        <v>Net Banking</v>
      </c>
      <c r="O358" t="s">
        <v>12</v>
      </c>
      <c r="P358" t="str">
        <f>IF(Table1[[#This Row],[Unit price]]&gt;2000,"High Price","Standard Price")</f>
        <v>Standard Price</v>
      </c>
    </row>
    <row r="359" spans="1:16" x14ac:dyDescent="0.3">
      <c r="A359" s="3">
        <v>10358</v>
      </c>
      <c r="B359" s="1">
        <v>45905</v>
      </c>
      <c r="C359" s="3" t="s">
        <v>59</v>
      </c>
      <c r="D359" s="3" t="s">
        <v>7</v>
      </c>
      <c r="E359" t="s">
        <v>20</v>
      </c>
      <c r="F359" t="s">
        <v>20</v>
      </c>
      <c r="G359" t="str">
        <f>IF(ISBLANK(Table1[[#This Row],[State]]),"Unknown",Table1[[#This Row],[State]])</f>
        <v>Delhi</v>
      </c>
      <c r="H359" t="s">
        <v>2</v>
      </c>
      <c r="I359" t="s">
        <v>24</v>
      </c>
      <c r="J359" t="str">
        <f>IF(ISBLANK(Table1[[#This Row],[Product]]),"Unknown",Table1[[#This Row],[Product]])</f>
        <v>Jeans</v>
      </c>
      <c r="K359" s="3">
        <v>1</v>
      </c>
      <c r="L359" s="10">
        <v>1299</v>
      </c>
      <c r="M359" t="s">
        <v>26</v>
      </c>
      <c r="N359" t="str">
        <f>IF(ISBLANK(Table1[[#This Row],[Payment method]]),"Unknown",Table1[[#This Row],[Payment method]])</f>
        <v>Card</v>
      </c>
      <c r="O359" t="s">
        <v>5</v>
      </c>
      <c r="P359" t="str">
        <f>IF(Table1[[#This Row],[Unit price]]&gt;2000,"High Price","Standard Price")</f>
        <v>Standard Price</v>
      </c>
    </row>
    <row r="360" spans="1:16" x14ac:dyDescent="0.3">
      <c r="A360" s="3">
        <v>10359</v>
      </c>
      <c r="B360" s="1">
        <v>45774</v>
      </c>
      <c r="C360" s="3" t="s">
        <v>80</v>
      </c>
      <c r="D360" s="3" t="s">
        <v>19</v>
      </c>
      <c r="E360" t="s">
        <v>248</v>
      </c>
      <c r="F360" t="s">
        <v>52</v>
      </c>
      <c r="G360" t="str">
        <f>IF(ISBLANK(Table1[[#This Row],[State]]),"Unknown",Table1[[#This Row],[State]])</f>
        <v>Karnataka</v>
      </c>
      <c r="H360" t="s">
        <v>9</v>
      </c>
      <c r="I360" t="s">
        <v>16</v>
      </c>
      <c r="J360" t="str">
        <f>IF(ISBLANK(Table1[[#This Row],[Product]]),"Unknown",Table1[[#This Row],[Product]])</f>
        <v>Lamp</v>
      </c>
      <c r="K360" s="3">
        <v>5</v>
      </c>
      <c r="L360" s="10">
        <v>1999</v>
      </c>
      <c r="N360" t="str">
        <f>IF(ISBLANK(Table1[[#This Row],[Payment method]]),"Unknown",Table1[[#This Row],[Payment method]])</f>
        <v>Unknown</v>
      </c>
      <c r="O360" t="s">
        <v>5</v>
      </c>
      <c r="P360" t="str">
        <f>IF(Table1[[#This Row],[Unit price]]&gt;2000,"High Price","Standard Price")</f>
        <v>Standard Price</v>
      </c>
    </row>
    <row r="361" spans="1:16" x14ac:dyDescent="0.3">
      <c r="A361" s="3">
        <v>10360</v>
      </c>
      <c r="B361" s="1">
        <v>45679</v>
      </c>
      <c r="C361" s="3" t="s">
        <v>145</v>
      </c>
      <c r="D361" s="3" t="s">
        <v>7</v>
      </c>
      <c r="E361" t="s">
        <v>32</v>
      </c>
      <c r="F361" t="s">
        <v>15</v>
      </c>
      <c r="G361" t="str">
        <f>IF(ISBLANK(Table1[[#This Row],[State]]),"Unknown",Table1[[#This Row],[State]])</f>
        <v>Maharashtra</v>
      </c>
      <c r="H361" t="s">
        <v>2</v>
      </c>
      <c r="I361" t="s">
        <v>24</v>
      </c>
      <c r="J361" t="str">
        <f>IF(ISBLANK(Table1[[#This Row],[Product]]),"Unknown",Table1[[#This Row],[Product]])</f>
        <v>Jeans</v>
      </c>
      <c r="K361" s="3">
        <v>5</v>
      </c>
      <c r="L361" s="10">
        <v>1999</v>
      </c>
      <c r="N361" t="str">
        <f>IF(ISBLANK(Table1[[#This Row],[Payment method]]),"Unknown",Table1[[#This Row],[Payment method]])</f>
        <v>Unknown</v>
      </c>
      <c r="O361" t="s">
        <v>17</v>
      </c>
      <c r="P361" t="str">
        <f>IF(Table1[[#This Row],[Unit price]]&gt;2000,"High Price","Standard Price")</f>
        <v>Standard Price</v>
      </c>
    </row>
    <row r="362" spans="1:16" x14ac:dyDescent="0.3">
      <c r="A362" s="3">
        <v>10361</v>
      </c>
      <c r="B362" s="1">
        <v>45661</v>
      </c>
      <c r="C362" s="3" t="s">
        <v>175</v>
      </c>
      <c r="D362" s="3" t="s">
        <v>39</v>
      </c>
      <c r="E362" t="s">
        <v>35</v>
      </c>
      <c r="F362" t="s">
        <v>15</v>
      </c>
      <c r="G362" t="str">
        <f>IF(ISBLANK(Table1[[#This Row],[State]]),"Unknown",Table1[[#This Row],[State]])</f>
        <v>Maharashtra</v>
      </c>
      <c r="H362" t="s">
        <v>9</v>
      </c>
      <c r="I362" t="s">
        <v>10</v>
      </c>
      <c r="J362" t="str">
        <f>IF(ISBLANK(Table1[[#This Row],[Product]]),"Unknown",Table1[[#This Row],[Product]])</f>
        <v>Chair</v>
      </c>
      <c r="K362" s="3">
        <v>2</v>
      </c>
      <c r="L362" s="10">
        <v>1299</v>
      </c>
      <c r="M362" t="s">
        <v>4</v>
      </c>
      <c r="N362" t="str">
        <f>IF(ISBLANK(Table1[[#This Row],[Payment method]]),"Unknown",Table1[[#This Row],[Payment method]])</f>
        <v>Net Banking</v>
      </c>
      <c r="O362" t="s">
        <v>5</v>
      </c>
      <c r="P362" t="str">
        <f>IF(Table1[[#This Row],[Unit price]]&gt;2000,"High Price","Standard Price")</f>
        <v>Standard Price</v>
      </c>
    </row>
    <row r="363" spans="1:16" x14ac:dyDescent="0.3">
      <c r="A363" s="3">
        <v>10362</v>
      </c>
      <c r="B363" s="1">
        <v>45792</v>
      </c>
      <c r="C363" s="3" t="s">
        <v>198</v>
      </c>
      <c r="D363" s="3" t="s">
        <v>57</v>
      </c>
      <c r="E363" t="s">
        <v>249</v>
      </c>
      <c r="F363" t="s">
        <v>36</v>
      </c>
      <c r="G363" t="str">
        <f>IF(ISBLANK(Table1[[#This Row],[State]]),"Unknown",Table1[[#This Row],[State]])</f>
        <v>Maharastra</v>
      </c>
      <c r="H363" t="s">
        <v>2</v>
      </c>
      <c r="I363" t="s">
        <v>3</v>
      </c>
      <c r="J363" t="str">
        <f>IF(ISBLANK(Table1[[#This Row],[Product]]),"Unknown",Table1[[#This Row],[Product]])</f>
        <v>T-Shirt</v>
      </c>
      <c r="K363" s="3">
        <v>5</v>
      </c>
      <c r="L363" s="10">
        <v>499</v>
      </c>
      <c r="M363" t="s">
        <v>4</v>
      </c>
      <c r="N363" t="str">
        <f>IF(ISBLANK(Table1[[#This Row],[Payment method]]),"Unknown",Table1[[#This Row],[Payment method]])</f>
        <v>Net Banking</v>
      </c>
      <c r="O363" t="s">
        <v>12</v>
      </c>
      <c r="P363" t="str">
        <f>IF(Table1[[#This Row],[Unit price]]&gt;2000,"High Price","Standard Price")</f>
        <v>Standard Price</v>
      </c>
    </row>
    <row r="364" spans="1:16" x14ac:dyDescent="0.3">
      <c r="A364" s="3">
        <v>10363</v>
      </c>
      <c r="B364" s="1">
        <v>45668</v>
      </c>
      <c r="C364" s="3" t="s">
        <v>31</v>
      </c>
      <c r="D364" s="3" t="s">
        <v>19</v>
      </c>
      <c r="E364" t="s">
        <v>32</v>
      </c>
      <c r="F364" t="s">
        <v>15</v>
      </c>
      <c r="G364" t="str">
        <f>IF(ISBLANK(Table1[[#This Row],[State]]),"Unknown",Table1[[#This Row],[State]])</f>
        <v>Maharashtra</v>
      </c>
      <c r="H364" t="s">
        <v>2</v>
      </c>
      <c r="I364" t="s">
        <v>3</v>
      </c>
      <c r="J364" t="str">
        <f>IF(ISBLANK(Table1[[#This Row],[Product]]),"Unknown",Table1[[#This Row],[Product]])</f>
        <v>T-Shirt</v>
      </c>
      <c r="K364" s="3">
        <v>2</v>
      </c>
      <c r="L364" s="10">
        <v>1999</v>
      </c>
      <c r="M364" t="s">
        <v>26</v>
      </c>
      <c r="N364" t="str">
        <f>IF(ISBLANK(Table1[[#This Row],[Payment method]]),"Unknown",Table1[[#This Row],[Payment method]])</f>
        <v>Card</v>
      </c>
      <c r="O364" t="s">
        <v>5</v>
      </c>
      <c r="P364" t="str">
        <f>IF(Table1[[#This Row],[Unit price]]&gt;2000,"High Price","Standard Price")</f>
        <v>Standard Price</v>
      </c>
    </row>
    <row r="365" spans="1:16" x14ac:dyDescent="0.3">
      <c r="A365" s="3">
        <v>10364</v>
      </c>
      <c r="B365" s="1">
        <v>45770</v>
      </c>
      <c r="C365" s="3" t="s">
        <v>88</v>
      </c>
      <c r="D365" s="3" t="s">
        <v>1</v>
      </c>
      <c r="E365" t="s">
        <v>248</v>
      </c>
      <c r="F365" t="s">
        <v>52</v>
      </c>
      <c r="G365" t="str">
        <f>IF(ISBLANK(Table1[[#This Row],[State]]),"Unknown",Table1[[#This Row],[State]])</f>
        <v>Karnataka</v>
      </c>
      <c r="H365" t="s">
        <v>9</v>
      </c>
      <c r="I365" t="s">
        <v>16</v>
      </c>
      <c r="J365" t="str">
        <f>IF(ISBLANK(Table1[[#This Row],[Product]]),"Unknown",Table1[[#This Row],[Product]])</f>
        <v>Lamp</v>
      </c>
      <c r="K365" s="3">
        <v>4</v>
      </c>
      <c r="L365" s="10">
        <v>799</v>
      </c>
      <c r="M365" t="s">
        <v>26</v>
      </c>
      <c r="N365" t="str">
        <f>IF(ISBLANK(Table1[[#This Row],[Payment method]]),"Unknown",Table1[[#This Row],[Payment method]])</f>
        <v>Card</v>
      </c>
      <c r="O365" t="s">
        <v>17</v>
      </c>
      <c r="P365" t="str">
        <f>IF(Table1[[#This Row],[Unit price]]&gt;2000,"High Price","Standard Price")</f>
        <v>Standard Price</v>
      </c>
    </row>
    <row r="366" spans="1:16" x14ac:dyDescent="0.3">
      <c r="A366" s="3">
        <v>10365</v>
      </c>
      <c r="B366" s="1">
        <v>45822</v>
      </c>
      <c r="C366" s="3" t="s">
        <v>62</v>
      </c>
      <c r="D366" s="3" t="s">
        <v>43</v>
      </c>
      <c r="E366" t="s">
        <v>8</v>
      </c>
      <c r="F366" t="s">
        <v>52</v>
      </c>
      <c r="G366" t="str">
        <f>IF(ISBLANK(Table1[[#This Row],[State]]),"Unknown",Table1[[#This Row],[State]])</f>
        <v>Karnataka</v>
      </c>
      <c r="H366" t="s">
        <v>2</v>
      </c>
      <c r="I366" t="s">
        <v>3</v>
      </c>
      <c r="J366" t="str">
        <f>IF(ISBLANK(Table1[[#This Row],[Product]]),"Unknown",Table1[[#This Row],[Product]])</f>
        <v>T-Shirt</v>
      </c>
      <c r="K366" s="3">
        <v>4</v>
      </c>
      <c r="L366" s="10">
        <v>1299</v>
      </c>
      <c r="M366" t="s">
        <v>4</v>
      </c>
      <c r="N366" t="str">
        <f>IF(ISBLANK(Table1[[#This Row],[Payment method]]),"Unknown",Table1[[#This Row],[Payment method]])</f>
        <v>Net Banking</v>
      </c>
      <c r="O366" t="s">
        <v>58</v>
      </c>
      <c r="P366" t="str">
        <f>IF(Table1[[#This Row],[Unit price]]&gt;2000,"High Price","Standard Price")</f>
        <v>Standard Price</v>
      </c>
    </row>
    <row r="367" spans="1:16" x14ac:dyDescent="0.3">
      <c r="A367" s="3">
        <v>10366</v>
      </c>
      <c r="B367" s="1">
        <v>45668</v>
      </c>
      <c r="C367" s="3" t="s">
        <v>116</v>
      </c>
      <c r="D367" s="3" t="s">
        <v>43</v>
      </c>
      <c r="E367" t="s">
        <v>248</v>
      </c>
      <c r="F367" t="s">
        <v>52</v>
      </c>
      <c r="G367" t="str">
        <f>IF(ISBLANK(Table1[[#This Row],[State]]),"Unknown",Table1[[#This Row],[State]])</f>
        <v>Karnataka</v>
      </c>
      <c r="H367" t="s">
        <v>9</v>
      </c>
      <c r="I367" t="s">
        <v>16</v>
      </c>
      <c r="J367" t="str">
        <f>IF(ISBLANK(Table1[[#This Row],[Product]]),"Unknown",Table1[[#This Row],[Product]])</f>
        <v>Lamp</v>
      </c>
      <c r="K367" s="3">
        <v>1</v>
      </c>
      <c r="L367" s="10">
        <v>299</v>
      </c>
      <c r="M367" t="s">
        <v>26</v>
      </c>
      <c r="N367" t="str">
        <f>IF(ISBLANK(Table1[[#This Row],[Payment method]]),"Unknown",Table1[[#This Row],[Payment method]])</f>
        <v>Card</v>
      </c>
      <c r="O367" t="s">
        <v>12</v>
      </c>
      <c r="P367" t="str">
        <f>IF(Table1[[#This Row],[Unit price]]&gt;2000,"High Price","Standard Price")</f>
        <v>Standard Price</v>
      </c>
    </row>
    <row r="368" spans="1:16" x14ac:dyDescent="0.3">
      <c r="A368" s="3">
        <v>10367</v>
      </c>
      <c r="B368" s="1">
        <v>45726</v>
      </c>
      <c r="C368" s="3" t="s">
        <v>47</v>
      </c>
      <c r="D368" s="3" t="s">
        <v>43</v>
      </c>
      <c r="E368" t="s">
        <v>8</v>
      </c>
      <c r="F368" t="s">
        <v>52</v>
      </c>
      <c r="G368" t="str">
        <f>IF(ISBLANK(Table1[[#This Row],[State]]),"Unknown",Table1[[#This Row],[State]])</f>
        <v>Karnataka</v>
      </c>
      <c r="H368" t="s">
        <v>33</v>
      </c>
      <c r="I368" t="s">
        <v>37</v>
      </c>
      <c r="J368" t="str">
        <f>IF(ISBLANK(Table1[[#This Row],[Product]]),"Unknown",Table1[[#This Row],[Product]])</f>
        <v>Mouse</v>
      </c>
      <c r="K368" s="3">
        <v>2</v>
      </c>
      <c r="L368" s="10">
        <v>1299</v>
      </c>
      <c r="N368" t="str">
        <f>IF(ISBLANK(Table1[[#This Row],[Payment method]]),"Unknown",Table1[[#This Row],[Payment method]])</f>
        <v>Unknown</v>
      </c>
      <c r="O368" t="s">
        <v>12</v>
      </c>
      <c r="P368" t="str">
        <f>IF(Table1[[#This Row],[Unit price]]&gt;2000,"High Price","Standard Price")</f>
        <v>Standard Price</v>
      </c>
    </row>
    <row r="369" spans="1:16" x14ac:dyDescent="0.3">
      <c r="A369" s="3">
        <v>10368</v>
      </c>
      <c r="B369" s="1">
        <v>45820</v>
      </c>
      <c r="C369" s="3" t="s">
        <v>79</v>
      </c>
      <c r="D369" s="3" t="s">
        <v>57</v>
      </c>
      <c r="E369" t="s">
        <v>8</v>
      </c>
      <c r="F369" t="s">
        <v>52</v>
      </c>
      <c r="G369" t="str">
        <f>IF(ISBLANK(Table1[[#This Row],[State]]),"Unknown",Table1[[#This Row],[State]])</f>
        <v>Karnataka</v>
      </c>
      <c r="H369" t="s">
        <v>9</v>
      </c>
      <c r="I369" t="s">
        <v>16</v>
      </c>
      <c r="J369" t="str">
        <f>IF(ISBLANK(Table1[[#This Row],[Product]]),"Unknown",Table1[[#This Row],[Product]])</f>
        <v>Lamp</v>
      </c>
      <c r="K369" s="3">
        <v>4</v>
      </c>
      <c r="L369" s="10">
        <v>799</v>
      </c>
      <c r="M369" t="s">
        <v>11</v>
      </c>
      <c r="N369" t="str">
        <f>IF(ISBLANK(Table1[[#This Row],[Payment method]]),"Unknown",Table1[[#This Row],[Payment method]])</f>
        <v>Cash on Delivery</v>
      </c>
      <c r="O369" t="s">
        <v>58</v>
      </c>
      <c r="P369" t="str">
        <f>IF(Table1[[#This Row],[Unit price]]&gt;2000,"High Price","Standard Price")</f>
        <v>Standard Price</v>
      </c>
    </row>
    <row r="370" spans="1:16" x14ac:dyDescent="0.3">
      <c r="A370" s="3">
        <v>10369</v>
      </c>
      <c r="B370" s="1">
        <v>45707</v>
      </c>
      <c r="C370" s="3" t="s">
        <v>77</v>
      </c>
      <c r="D370" s="3" t="s">
        <v>43</v>
      </c>
      <c r="E370" t="s">
        <v>8</v>
      </c>
      <c r="F370" t="s">
        <v>52</v>
      </c>
      <c r="G370" t="str">
        <f>IF(ISBLANK(Table1[[#This Row],[State]]),"Unknown",Table1[[#This Row],[State]])</f>
        <v>Karnataka</v>
      </c>
      <c r="H370" t="s">
        <v>2</v>
      </c>
      <c r="I370" t="s">
        <v>24</v>
      </c>
      <c r="J370" t="str">
        <f>IF(ISBLANK(Table1[[#This Row],[Product]]),"Unknown",Table1[[#This Row],[Product]])</f>
        <v>Jeans</v>
      </c>
      <c r="K370" s="3">
        <v>1</v>
      </c>
      <c r="L370" s="10">
        <v>1299</v>
      </c>
      <c r="N370" t="str">
        <f>IF(ISBLANK(Table1[[#This Row],[Payment method]]),"Unknown",Table1[[#This Row],[Payment method]])</f>
        <v>Unknown</v>
      </c>
      <c r="O370" t="s">
        <v>12</v>
      </c>
      <c r="P370" t="str">
        <f>IF(Table1[[#This Row],[Unit price]]&gt;2000,"High Price","Standard Price")</f>
        <v>Standard Price</v>
      </c>
    </row>
    <row r="371" spans="1:16" x14ac:dyDescent="0.3">
      <c r="A371" s="3">
        <v>10370</v>
      </c>
      <c r="B371" s="1">
        <v>45708</v>
      </c>
      <c r="C371" s="3" t="s">
        <v>148</v>
      </c>
      <c r="D371" s="3" t="s">
        <v>57</v>
      </c>
      <c r="E371" t="s">
        <v>8</v>
      </c>
      <c r="F371" t="s">
        <v>52</v>
      </c>
      <c r="G371" t="str">
        <f>IF(ISBLANK(Table1[[#This Row],[State]]),"Unknown",Table1[[#This Row],[State]])</f>
        <v>Karnataka</v>
      </c>
      <c r="H371" t="s">
        <v>33</v>
      </c>
      <c r="J371" t="str">
        <f>IF(ISBLANK(Table1[[#This Row],[Product]]),"Unknown",Table1[[#This Row],[Product]])</f>
        <v>Unknown</v>
      </c>
      <c r="K371" s="3">
        <v>5</v>
      </c>
      <c r="L371" s="10">
        <v>499</v>
      </c>
      <c r="N371" t="str">
        <f>IF(ISBLANK(Table1[[#This Row],[Payment method]]),"Unknown",Table1[[#This Row],[Payment method]])</f>
        <v>Unknown</v>
      </c>
      <c r="O371" t="s">
        <v>5</v>
      </c>
      <c r="P371" t="str">
        <f>IF(Table1[[#This Row],[Unit price]]&gt;2000,"High Price","Standard Price")</f>
        <v>Standard Price</v>
      </c>
    </row>
    <row r="372" spans="1:16" x14ac:dyDescent="0.3">
      <c r="A372" s="3">
        <v>10371</v>
      </c>
      <c r="B372" s="1">
        <v>45681</v>
      </c>
      <c r="C372" s="3" t="s">
        <v>203</v>
      </c>
      <c r="D372" s="3" t="s">
        <v>7</v>
      </c>
      <c r="E372" t="s">
        <v>247</v>
      </c>
      <c r="G372" t="str">
        <f>IF(ISBLANK(Table1[[#This Row],[State]]),"Unknown",Table1[[#This Row],[State]])</f>
        <v>Unknown</v>
      </c>
      <c r="H372" t="s">
        <v>2</v>
      </c>
      <c r="I372" t="s">
        <v>3</v>
      </c>
      <c r="J372" t="str">
        <f>IF(ISBLANK(Table1[[#This Row],[Product]]),"Unknown",Table1[[#This Row],[Product]])</f>
        <v>T-Shirt</v>
      </c>
      <c r="K372" s="3">
        <v>5</v>
      </c>
      <c r="L372" s="10">
        <v>299</v>
      </c>
      <c r="N372" t="str">
        <f>IF(ISBLANK(Table1[[#This Row],[Payment method]]),"Unknown",Table1[[#This Row],[Payment method]])</f>
        <v>Unknown</v>
      </c>
      <c r="O372" t="s">
        <v>17</v>
      </c>
      <c r="P372" t="str">
        <f>IF(Table1[[#This Row],[Unit price]]&gt;2000,"High Price","Standard Price")</f>
        <v>Standard Price</v>
      </c>
    </row>
    <row r="373" spans="1:16" x14ac:dyDescent="0.3">
      <c r="A373" s="3">
        <v>10372</v>
      </c>
      <c r="B373" s="1">
        <v>45752</v>
      </c>
      <c r="C373" s="3" t="s">
        <v>96</v>
      </c>
      <c r="D373" s="3" t="s">
        <v>7</v>
      </c>
      <c r="E373" t="s">
        <v>32</v>
      </c>
      <c r="F373" t="s">
        <v>15</v>
      </c>
      <c r="G373" t="str">
        <f>IF(ISBLANK(Table1[[#This Row],[State]]),"Unknown",Table1[[#This Row],[State]])</f>
        <v>Maharashtra</v>
      </c>
      <c r="H373" t="s">
        <v>33</v>
      </c>
      <c r="I373" t="s">
        <v>37</v>
      </c>
      <c r="J373" t="str">
        <f>IF(ISBLANK(Table1[[#This Row],[Product]]),"Unknown",Table1[[#This Row],[Product]])</f>
        <v>Mouse</v>
      </c>
      <c r="K373" s="3">
        <v>3</v>
      </c>
      <c r="L373" s="10">
        <v>499</v>
      </c>
      <c r="M373" t="s">
        <v>4</v>
      </c>
      <c r="N373" t="str">
        <f>IF(ISBLANK(Table1[[#This Row],[Payment method]]),"Unknown",Table1[[#This Row],[Payment method]])</f>
        <v>Net Banking</v>
      </c>
      <c r="O373" t="s">
        <v>12</v>
      </c>
      <c r="P373" t="str">
        <f>IF(Table1[[#This Row],[Unit price]]&gt;2000,"High Price","Standard Price")</f>
        <v>Standard Price</v>
      </c>
    </row>
    <row r="374" spans="1:16" x14ac:dyDescent="0.3">
      <c r="A374" s="3">
        <v>10373</v>
      </c>
      <c r="B374" s="1">
        <v>45693</v>
      </c>
      <c r="C374" s="3" t="s">
        <v>107</v>
      </c>
      <c r="D374" s="3" t="s">
        <v>43</v>
      </c>
      <c r="E374" t="s">
        <v>20</v>
      </c>
      <c r="F374" t="s">
        <v>20</v>
      </c>
      <c r="G374" t="str">
        <f>IF(ISBLANK(Table1[[#This Row],[State]]),"Unknown",Table1[[#This Row],[State]])</f>
        <v>Delhi</v>
      </c>
      <c r="H374" t="s">
        <v>9</v>
      </c>
      <c r="I374" t="s">
        <v>16</v>
      </c>
      <c r="J374" t="str">
        <f>IF(ISBLANK(Table1[[#This Row],[Product]]),"Unknown",Table1[[#This Row],[Product]])</f>
        <v>Lamp</v>
      </c>
      <c r="K374" s="3">
        <v>4</v>
      </c>
      <c r="L374" s="10">
        <v>499</v>
      </c>
      <c r="N374" t="str">
        <f>IF(ISBLANK(Table1[[#This Row],[Payment method]]),"Unknown",Table1[[#This Row],[Payment method]])</f>
        <v>Unknown</v>
      </c>
      <c r="O374" t="s">
        <v>12</v>
      </c>
      <c r="P374" t="str">
        <f>IF(Table1[[#This Row],[Unit price]]&gt;2000,"High Price","Standard Price")</f>
        <v>Standard Price</v>
      </c>
    </row>
    <row r="375" spans="1:16" x14ac:dyDescent="0.3">
      <c r="A375" s="3">
        <v>10374</v>
      </c>
      <c r="B375" s="1">
        <v>45837</v>
      </c>
      <c r="C375" s="3" t="s">
        <v>159</v>
      </c>
      <c r="D375" s="3" t="s">
        <v>19</v>
      </c>
      <c r="E375" t="s">
        <v>248</v>
      </c>
      <c r="F375" t="s">
        <v>52</v>
      </c>
      <c r="G375" t="str">
        <f>IF(ISBLANK(Table1[[#This Row],[State]]),"Unknown",Table1[[#This Row],[State]])</f>
        <v>Karnataka</v>
      </c>
      <c r="H375" t="s">
        <v>2</v>
      </c>
      <c r="I375" t="s">
        <v>3</v>
      </c>
      <c r="J375" t="str">
        <f>IF(ISBLANK(Table1[[#This Row],[Product]]),"Unknown",Table1[[#This Row],[Product]])</f>
        <v>T-Shirt</v>
      </c>
      <c r="K375" s="3">
        <v>1</v>
      </c>
      <c r="L375" s="10">
        <v>1299</v>
      </c>
      <c r="M375" t="s">
        <v>26</v>
      </c>
      <c r="N375" t="str">
        <f>IF(ISBLANK(Table1[[#This Row],[Payment method]]),"Unknown",Table1[[#This Row],[Payment method]])</f>
        <v>Card</v>
      </c>
      <c r="O375" t="s">
        <v>58</v>
      </c>
      <c r="P375" t="str">
        <f>IF(Table1[[#This Row],[Unit price]]&gt;2000,"High Price","Standard Price")</f>
        <v>Standard Price</v>
      </c>
    </row>
    <row r="376" spans="1:16" x14ac:dyDescent="0.3">
      <c r="A376" s="3">
        <v>10375</v>
      </c>
      <c r="B376" s="1">
        <v>45709</v>
      </c>
      <c r="C376" s="3" t="s">
        <v>123</v>
      </c>
      <c r="D376" s="3" t="s">
        <v>14</v>
      </c>
      <c r="E376" t="s">
        <v>45</v>
      </c>
      <c r="F376" t="s">
        <v>54</v>
      </c>
      <c r="G376" t="str">
        <f>IF(ISBLANK(Table1[[#This Row],[State]]),"Unknown",Table1[[#This Row],[State]])</f>
        <v>Uttar Pradesh</v>
      </c>
      <c r="H376" t="s">
        <v>33</v>
      </c>
      <c r="I376" t="s">
        <v>21</v>
      </c>
      <c r="J376" t="str">
        <f>IF(ISBLANK(Table1[[#This Row],[Product]]),"Unknown",Table1[[#This Row],[Product]])</f>
        <v>Headphones</v>
      </c>
      <c r="K376" s="3">
        <v>3</v>
      </c>
      <c r="L376" s="10">
        <v>299</v>
      </c>
      <c r="N376" t="str">
        <f>IF(ISBLANK(Table1[[#This Row],[Payment method]]),"Unknown",Table1[[#This Row],[Payment method]])</f>
        <v>Unknown</v>
      </c>
      <c r="O376" t="s">
        <v>17</v>
      </c>
      <c r="P376" t="str">
        <f>IF(Table1[[#This Row],[Unit price]]&gt;2000,"High Price","Standard Price")</f>
        <v>Standard Price</v>
      </c>
    </row>
    <row r="377" spans="1:16" x14ac:dyDescent="0.3">
      <c r="A377" s="3">
        <v>10376</v>
      </c>
      <c r="B377" s="1">
        <v>45759</v>
      </c>
      <c r="C377" s="3" t="s">
        <v>204</v>
      </c>
      <c r="D377" s="3" t="s">
        <v>14</v>
      </c>
      <c r="E377" t="s">
        <v>32</v>
      </c>
      <c r="F377" t="s">
        <v>15</v>
      </c>
      <c r="G377" t="str">
        <f>IF(ISBLANK(Table1[[#This Row],[State]]),"Unknown",Table1[[#This Row],[State]])</f>
        <v>Maharashtra</v>
      </c>
      <c r="H377" t="s">
        <v>33</v>
      </c>
      <c r="I377" t="s">
        <v>21</v>
      </c>
      <c r="J377" t="str">
        <f>IF(ISBLANK(Table1[[#This Row],[Product]]),"Unknown",Table1[[#This Row],[Product]])</f>
        <v>Headphones</v>
      </c>
      <c r="K377" s="3">
        <v>3</v>
      </c>
      <c r="L377" s="10">
        <v>299</v>
      </c>
      <c r="M377" t="s">
        <v>26</v>
      </c>
      <c r="N377" t="str">
        <f>IF(ISBLANK(Table1[[#This Row],[Payment method]]),"Unknown",Table1[[#This Row],[Payment method]])</f>
        <v>Card</v>
      </c>
      <c r="O377" t="s">
        <v>58</v>
      </c>
      <c r="P377" t="str">
        <f>IF(Table1[[#This Row],[Unit price]]&gt;2000,"High Price","Standard Price")</f>
        <v>Standard Price</v>
      </c>
    </row>
    <row r="378" spans="1:16" x14ac:dyDescent="0.3">
      <c r="A378" s="3">
        <v>10377</v>
      </c>
      <c r="B378" s="1">
        <v>45660</v>
      </c>
      <c r="C378" s="3" t="s">
        <v>63</v>
      </c>
      <c r="D378" s="3" t="s">
        <v>14</v>
      </c>
      <c r="E378" t="s">
        <v>35</v>
      </c>
      <c r="F378" t="s">
        <v>15</v>
      </c>
      <c r="G378" t="str">
        <f>IF(ISBLANK(Table1[[#This Row],[State]]),"Unknown",Table1[[#This Row],[State]])</f>
        <v>Maharashtra</v>
      </c>
      <c r="H378" t="s">
        <v>33</v>
      </c>
      <c r="I378" t="s">
        <v>37</v>
      </c>
      <c r="J378" t="str">
        <f>IF(ISBLANK(Table1[[#This Row],[Product]]),"Unknown",Table1[[#This Row],[Product]])</f>
        <v>Mouse</v>
      </c>
      <c r="K378" s="3">
        <v>2</v>
      </c>
      <c r="L378" s="10">
        <v>299</v>
      </c>
      <c r="M378" t="s">
        <v>4</v>
      </c>
      <c r="N378" t="str">
        <f>IF(ISBLANK(Table1[[#This Row],[Payment method]]),"Unknown",Table1[[#This Row],[Payment method]])</f>
        <v>Net Banking</v>
      </c>
      <c r="O378" t="s">
        <v>58</v>
      </c>
      <c r="P378" t="str">
        <f>IF(Table1[[#This Row],[Unit price]]&gt;2000,"High Price","Standard Price")</f>
        <v>Standard Price</v>
      </c>
    </row>
    <row r="379" spans="1:16" x14ac:dyDescent="0.3">
      <c r="A379" s="3">
        <v>10378</v>
      </c>
      <c r="B379" s="1">
        <v>45788</v>
      </c>
      <c r="C379" s="3" t="s">
        <v>205</v>
      </c>
      <c r="D379" s="3" t="s">
        <v>19</v>
      </c>
      <c r="E379" t="s">
        <v>35</v>
      </c>
      <c r="F379" t="s">
        <v>15</v>
      </c>
      <c r="G379" t="str">
        <f>IF(ISBLANK(Table1[[#This Row],[State]]),"Unknown",Table1[[#This Row],[State]])</f>
        <v>Maharashtra</v>
      </c>
      <c r="H379" t="s">
        <v>2</v>
      </c>
      <c r="I379" t="s">
        <v>3</v>
      </c>
      <c r="J379" t="str">
        <f>IF(ISBLANK(Table1[[#This Row],[Product]]),"Unknown",Table1[[#This Row],[Product]])</f>
        <v>T-Shirt</v>
      </c>
      <c r="K379" s="3">
        <v>4</v>
      </c>
      <c r="L379" s="10">
        <v>499</v>
      </c>
      <c r="M379" t="s">
        <v>4</v>
      </c>
      <c r="N379" t="str">
        <f>IF(ISBLANK(Table1[[#This Row],[Payment method]]),"Unknown",Table1[[#This Row],[Payment method]])</f>
        <v>Net Banking</v>
      </c>
      <c r="O379" t="s">
        <v>12</v>
      </c>
      <c r="P379" t="str">
        <f>IF(Table1[[#This Row],[Unit price]]&gt;2000,"High Price","Standard Price")</f>
        <v>Standard Price</v>
      </c>
    </row>
    <row r="380" spans="1:16" x14ac:dyDescent="0.3">
      <c r="A380" s="3">
        <v>10379</v>
      </c>
      <c r="B380" s="1">
        <v>45695</v>
      </c>
      <c r="C380" s="3" t="s">
        <v>34</v>
      </c>
      <c r="D380" s="3" t="s">
        <v>14</v>
      </c>
      <c r="E380" t="s">
        <v>32</v>
      </c>
      <c r="F380" t="s">
        <v>15</v>
      </c>
      <c r="G380" t="str">
        <f>IF(ISBLANK(Table1[[#This Row],[State]]),"Unknown",Table1[[#This Row],[State]])</f>
        <v>Maharashtra</v>
      </c>
      <c r="H380" t="s">
        <v>33</v>
      </c>
      <c r="I380" t="s">
        <v>49</v>
      </c>
      <c r="J380" t="str">
        <f>IF(ISBLANK(Table1[[#This Row],[Product]]),"Unknown",Table1[[#This Row],[Product]])</f>
        <v>Keyboard</v>
      </c>
      <c r="K380" s="3">
        <v>5</v>
      </c>
      <c r="L380" s="10">
        <v>1999</v>
      </c>
      <c r="M380" t="s">
        <v>26</v>
      </c>
      <c r="N380" t="str">
        <f>IF(ISBLANK(Table1[[#This Row],[Payment method]]),"Unknown",Table1[[#This Row],[Payment method]])</f>
        <v>Card</v>
      </c>
      <c r="O380" t="s">
        <v>17</v>
      </c>
      <c r="P380" t="str">
        <f>IF(Table1[[#This Row],[Unit price]]&gt;2000,"High Price","Standard Price")</f>
        <v>Standard Price</v>
      </c>
    </row>
    <row r="381" spans="1:16" x14ac:dyDescent="0.3">
      <c r="A381" s="3">
        <v>10380</v>
      </c>
      <c r="B381" s="1">
        <v>45736</v>
      </c>
      <c r="C381" s="3" t="s">
        <v>73</v>
      </c>
      <c r="D381" s="3" t="s">
        <v>39</v>
      </c>
      <c r="E381" t="s">
        <v>20</v>
      </c>
      <c r="F381" t="s">
        <v>20</v>
      </c>
      <c r="G381" t="str">
        <f>IF(ISBLANK(Table1[[#This Row],[State]]),"Unknown",Table1[[#This Row],[State]])</f>
        <v>Delhi</v>
      </c>
      <c r="H381" t="s">
        <v>2</v>
      </c>
      <c r="I381" t="s">
        <v>24</v>
      </c>
      <c r="J381" t="str">
        <f>IF(ISBLANK(Table1[[#This Row],[Product]]),"Unknown",Table1[[#This Row],[Product]])</f>
        <v>Jeans</v>
      </c>
      <c r="K381" s="3">
        <v>5</v>
      </c>
      <c r="L381" s="10">
        <v>299</v>
      </c>
      <c r="N381" t="str">
        <f>IF(ISBLANK(Table1[[#This Row],[Payment method]]),"Unknown",Table1[[#This Row],[Payment method]])</f>
        <v>Unknown</v>
      </c>
      <c r="O381" t="s">
        <v>17</v>
      </c>
      <c r="P381" t="str">
        <f>IF(Table1[[#This Row],[Unit price]]&gt;2000,"High Price","Standard Price")</f>
        <v>Standard Price</v>
      </c>
    </row>
    <row r="382" spans="1:16" x14ac:dyDescent="0.3">
      <c r="A382" s="3">
        <v>10381</v>
      </c>
      <c r="B382" s="1">
        <v>45747</v>
      </c>
      <c r="C382" s="3" t="s">
        <v>86</v>
      </c>
      <c r="D382" s="3" t="s">
        <v>14</v>
      </c>
      <c r="E382" t="s">
        <v>247</v>
      </c>
      <c r="F382" t="s">
        <v>36</v>
      </c>
      <c r="G382" t="str">
        <f>IF(ISBLANK(Table1[[#This Row],[State]]),"Unknown",Table1[[#This Row],[State]])</f>
        <v>Maharastra</v>
      </c>
      <c r="H382" t="s">
        <v>9</v>
      </c>
      <c r="I382" t="s">
        <v>10</v>
      </c>
      <c r="J382" t="str">
        <f>IF(ISBLANK(Table1[[#This Row],[Product]]),"Unknown",Table1[[#This Row],[Product]])</f>
        <v>Chair</v>
      </c>
      <c r="K382" s="3">
        <v>2</v>
      </c>
      <c r="L382" s="10">
        <v>1299</v>
      </c>
      <c r="M382" t="s">
        <v>26</v>
      </c>
      <c r="N382" t="str">
        <f>IF(ISBLANK(Table1[[#This Row],[Payment method]]),"Unknown",Table1[[#This Row],[Payment method]])</f>
        <v>Card</v>
      </c>
      <c r="O382" t="s">
        <v>12</v>
      </c>
      <c r="P382" t="str">
        <f>IF(Table1[[#This Row],[Unit price]]&gt;2000,"High Price","Standard Price")</f>
        <v>Standard Price</v>
      </c>
    </row>
    <row r="383" spans="1:16" x14ac:dyDescent="0.3">
      <c r="A383" s="3">
        <v>10382</v>
      </c>
      <c r="B383" s="1">
        <v>45810</v>
      </c>
      <c r="C383" s="3" t="s">
        <v>109</v>
      </c>
      <c r="D383" s="3" t="s">
        <v>57</v>
      </c>
      <c r="E383" t="s">
        <v>20</v>
      </c>
      <c r="F383" t="s">
        <v>20</v>
      </c>
      <c r="G383" t="str">
        <f>IF(ISBLANK(Table1[[#This Row],[State]]),"Unknown",Table1[[#This Row],[State]])</f>
        <v>Delhi</v>
      </c>
      <c r="H383" t="s">
        <v>2</v>
      </c>
      <c r="I383" t="s">
        <v>24</v>
      </c>
      <c r="J383" t="str">
        <f>IF(ISBLANK(Table1[[#This Row],[Product]]),"Unknown",Table1[[#This Row],[Product]])</f>
        <v>Jeans</v>
      </c>
      <c r="K383" s="3">
        <v>4</v>
      </c>
      <c r="L383" s="10">
        <v>499</v>
      </c>
      <c r="M383" t="s">
        <v>11</v>
      </c>
      <c r="N383" t="str">
        <f>IF(ISBLANK(Table1[[#This Row],[Payment method]]),"Unknown",Table1[[#This Row],[Payment method]])</f>
        <v>Cash on Delivery</v>
      </c>
      <c r="O383" t="s">
        <v>58</v>
      </c>
      <c r="P383" t="str">
        <f>IF(Table1[[#This Row],[Unit price]]&gt;2000,"High Price","Standard Price")</f>
        <v>Standard Price</v>
      </c>
    </row>
    <row r="384" spans="1:16" x14ac:dyDescent="0.3">
      <c r="A384" s="3">
        <v>10383</v>
      </c>
      <c r="B384" s="1">
        <v>45768</v>
      </c>
      <c r="C384" s="3" t="s">
        <v>90</v>
      </c>
      <c r="D384" s="3" t="s">
        <v>14</v>
      </c>
      <c r="E384" t="s">
        <v>20</v>
      </c>
      <c r="F384" t="s">
        <v>20</v>
      </c>
      <c r="G384" t="str">
        <f>IF(ISBLANK(Table1[[#This Row],[State]]),"Unknown",Table1[[#This Row],[State]])</f>
        <v>Delhi</v>
      </c>
      <c r="H384" t="s">
        <v>9</v>
      </c>
      <c r="I384" t="s">
        <v>10</v>
      </c>
      <c r="J384" t="str">
        <f>IF(ISBLANK(Table1[[#This Row],[Product]]),"Unknown",Table1[[#This Row],[Product]])</f>
        <v>Chair</v>
      </c>
      <c r="K384" s="3">
        <v>5</v>
      </c>
      <c r="L384" s="10">
        <v>799</v>
      </c>
      <c r="M384" t="s">
        <v>26</v>
      </c>
      <c r="N384" t="str">
        <f>IF(ISBLANK(Table1[[#This Row],[Payment method]]),"Unknown",Table1[[#This Row],[Payment method]])</f>
        <v>Card</v>
      </c>
      <c r="O384" t="s">
        <v>12</v>
      </c>
      <c r="P384" t="str">
        <f>IF(Table1[[#This Row],[Unit price]]&gt;2000,"High Price","Standard Price")</f>
        <v>Standard Price</v>
      </c>
    </row>
    <row r="385" spans="1:16" x14ac:dyDescent="0.3">
      <c r="A385" s="3">
        <v>10384</v>
      </c>
      <c r="B385" s="1">
        <v>45798</v>
      </c>
      <c r="C385" s="3" t="s">
        <v>158</v>
      </c>
      <c r="D385" s="3" t="s">
        <v>1</v>
      </c>
      <c r="E385" t="s">
        <v>32</v>
      </c>
      <c r="F385" t="s">
        <v>15</v>
      </c>
      <c r="G385" t="str">
        <f>IF(ISBLANK(Table1[[#This Row],[State]]),"Unknown",Table1[[#This Row],[State]])</f>
        <v>Maharashtra</v>
      </c>
      <c r="H385" t="s">
        <v>2</v>
      </c>
      <c r="I385" t="s">
        <v>24</v>
      </c>
      <c r="J385" t="str">
        <f>IF(ISBLANK(Table1[[#This Row],[Product]]),"Unknown",Table1[[#This Row],[Product]])</f>
        <v>Jeans</v>
      </c>
      <c r="K385" s="3">
        <v>1</v>
      </c>
      <c r="L385" s="10">
        <v>299</v>
      </c>
      <c r="N385" t="str">
        <f>IF(ISBLANK(Table1[[#This Row],[Payment method]]),"Unknown",Table1[[#This Row],[Payment method]])</f>
        <v>Unknown</v>
      </c>
      <c r="O385" t="s">
        <v>17</v>
      </c>
      <c r="P385" t="str">
        <f>IF(Table1[[#This Row],[Unit price]]&gt;2000,"High Price","Standard Price")</f>
        <v>Standard Price</v>
      </c>
    </row>
    <row r="386" spans="1:16" x14ac:dyDescent="0.3">
      <c r="A386" s="3">
        <v>10385</v>
      </c>
      <c r="B386" s="1">
        <v>45727</v>
      </c>
      <c r="C386" s="3" t="s">
        <v>65</v>
      </c>
      <c r="D386" s="3" t="s">
        <v>23</v>
      </c>
      <c r="E386" t="s">
        <v>249</v>
      </c>
      <c r="F386" t="s">
        <v>15</v>
      </c>
      <c r="G386" t="str">
        <f>IF(ISBLANK(Table1[[#This Row],[State]]),"Unknown",Table1[[#This Row],[State]])</f>
        <v>Maharashtra</v>
      </c>
      <c r="H386" t="s">
        <v>9</v>
      </c>
      <c r="I386" t="s">
        <v>16</v>
      </c>
      <c r="J386" t="str">
        <f>IF(ISBLANK(Table1[[#This Row],[Product]]),"Unknown",Table1[[#This Row],[Product]])</f>
        <v>Lamp</v>
      </c>
      <c r="K386" s="3">
        <v>4</v>
      </c>
      <c r="L386" s="10">
        <v>1299</v>
      </c>
      <c r="N386" t="str">
        <f>IF(ISBLANK(Table1[[#This Row],[Payment method]]),"Unknown",Table1[[#This Row],[Payment method]])</f>
        <v>Unknown</v>
      </c>
      <c r="O386" t="s">
        <v>5</v>
      </c>
      <c r="P386" t="str">
        <f>IF(Table1[[#This Row],[Unit price]]&gt;2000,"High Price","Standard Price")</f>
        <v>Standard Price</v>
      </c>
    </row>
    <row r="387" spans="1:16" x14ac:dyDescent="0.3">
      <c r="A387" s="3">
        <v>10386</v>
      </c>
      <c r="B387" s="1">
        <v>45743</v>
      </c>
      <c r="C387" s="3" t="s">
        <v>90</v>
      </c>
      <c r="D387" s="3" t="s">
        <v>43</v>
      </c>
      <c r="E387" t="s">
        <v>35</v>
      </c>
      <c r="F387" t="s">
        <v>15</v>
      </c>
      <c r="G387" t="str">
        <f>IF(ISBLANK(Table1[[#This Row],[State]]),"Unknown",Table1[[#This Row],[State]])</f>
        <v>Maharashtra</v>
      </c>
      <c r="H387" t="s">
        <v>33</v>
      </c>
      <c r="I387" t="s">
        <v>37</v>
      </c>
      <c r="J387" t="str">
        <f>IF(ISBLANK(Table1[[#This Row],[Product]]),"Unknown",Table1[[#This Row],[Product]])</f>
        <v>Mouse</v>
      </c>
      <c r="K387" s="3">
        <v>2</v>
      </c>
      <c r="L387" s="10">
        <v>799</v>
      </c>
      <c r="M387" t="s">
        <v>26</v>
      </c>
      <c r="N387" t="str">
        <f>IF(ISBLANK(Table1[[#This Row],[Payment method]]),"Unknown",Table1[[#This Row],[Payment method]])</f>
        <v>Card</v>
      </c>
      <c r="O387" t="s">
        <v>58</v>
      </c>
      <c r="P387" t="str">
        <f>IF(Table1[[#This Row],[Unit price]]&gt;2000,"High Price","Standard Price")</f>
        <v>Standard Price</v>
      </c>
    </row>
    <row r="388" spans="1:16" x14ac:dyDescent="0.3">
      <c r="A388" s="3">
        <v>10387</v>
      </c>
      <c r="B388" s="1">
        <v>45787</v>
      </c>
      <c r="C388" s="3" t="s">
        <v>133</v>
      </c>
      <c r="D388" s="3" t="s">
        <v>39</v>
      </c>
      <c r="E388" t="s">
        <v>247</v>
      </c>
      <c r="F388" t="s">
        <v>15</v>
      </c>
      <c r="G388" t="str">
        <f>IF(ISBLANK(Table1[[#This Row],[State]]),"Unknown",Table1[[#This Row],[State]])</f>
        <v>Maharashtra</v>
      </c>
      <c r="H388" t="s">
        <v>2</v>
      </c>
      <c r="I388" t="s">
        <v>24</v>
      </c>
      <c r="J388" t="str">
        <f>IF(ISBLANK(Table1[[#This Row],[Product]]),"Unknown",Table1[[#This Row],[Product]])</f>
        <v>Jeans</v>
      </c>
      <c r="K388" s="3">
        <v>3</v>
      </c>
      <c r="L388" s="10">
        <v>799</v>
      </c>
      <c r="N388" t="str">
        <f>IF(ISBLANK(Table1[[#This Row],[Payment method]]),"Unknown",Table1[[#This Row],[Payment method]])</f>
        <v>Unknown</v>
      </c>
      <c r="O388" t="s">
        <v>58</v>
      </c>
      <c r="P388" t="str">
        <f>IF(Table1[[#This Row],[Unit price]]&gt;2000,"High Price","Standard Price")</f>
        <v>Standard Price</v>
      </c>
    </row>
    <row r="389" spans="1:16" x14ac:dyDescent="0.3">
      <c r="A389" s="3">
        <v>10388</v>
      </c>
      <c r="B389" s="1">
        <v>45736</v>
      </c>
      <c r="C389" s="3" t="s">
        <v>168</v>
      </c>
      <c r="D389" s="3" t="s">
        <v>7</v>
      </c>
      <c r="E389" t="s">
        <v>45</v>
      </c>
      <c r="F389" t="s">
        <v>54</v>
      </c>
      <c r="G389" t="str">
        <f>IF(ISBLANK(Table1[[#This Row],[State]]),"Unknown",Table1[[#This Row],[State]])</f>
        <v>Uttar Pradesh</v>
      </c>
      <c r="H389" t="s">
        <v>33</v>
      </c>
      <c r="I389" t="s">
        <v>49</v>
      </c>
      <c r="J389" t="str">
        <f>IF(ISBLANK(Table1[[#This Row],[Product]]),"Unknown",Table1[[#This Row],[Product]])</f>
        <v>Keyboard</v>
      </c>
      <c r="K389" s="3">
        <v>2</v>
      </c>
      <c r="L389" s="10">
        <v>499</v>
      </c>
      <c r="M389" t="s">
        <v>26</v>
      </c>
      <c r="N389" t="str">
        <f>IF(ISBLANK(Table1[[#This Row],[Payment method]]),"Unknown",Table1[[#This Row],[Payment method]])</f>
        <v>Card</v>
      </c>
      <c r="O389" t="s">
        <v>12</v>
      </c>
      <c r="P389" t="str">
        <f>IF(Table1[[#This Row],[Unit price]]&gt;2000,"High Price","Standard Price")</f>
        <v>Standard Price</v>
      </c>
    </row>
    <row r="390" spans="1:16" x14ac:dyDescent="0.3">
      <c r="A390" s="3">
        <v>10389</v>
      </c>
      <c r="B390" s="1">
        <v>45832</v>
      </c>
      <c r="C390" s="3" t="s">
        <v>82</v>
      </c>
      <c r="D390" s="3" t="s">
        <v>19</v>
      </c>
      <c r="E390" t="s">
        <v>45</v>
      </c>
      <c r="F390" t="s">
        <v>54</v>
      </c>
      <c r="G390" t="str">
        <f>IF(ISBLANK(Table1[[#This Row],[State]]),"Unknown",Table1[[#This Row],[State]])</f>
        <v>Uttar Pradesh</v>
      </c>
      <c r="H390" t="s">
        <v>9</v>
      </c>
      <c r="I390" t="s">
        <v>10</v>
      </c>
      <c r="J390" t="str">
        <f>IF(ISBLANK(Table1[[#This Row],[Product]]),"Unknown",Table1[[#This Row],[Product]])</f>
        <v>Chair</v>
      </c>
      <c r="K390" s="3">
        <v>4</v>
      </c>
      <c r="L390" s="10">
        <v>1299</v>
      </c>
      <c r="N390" t="str">
        <f>IF(ISBLANK(Table1[[#This Row],[Payment method]]),"Unknown",Table1[[#This Row],[Payment method]])</f>
        <v>Unknown</v>
      </c>
      <c r="O390" t="s">
        <v>12</v>
      </c>
      <c r="P390" t="str">
        <f>IF(Table1[[#This Row],[Unit price]]&gt;2000,"High Price","Standard Price")</f>
        <v>Standard Price</v>
      </c>
    </row>
    <row r="391" spans="1:16" x14ac:dyDescent="0.3">
      <c r="A391" s="3">
        <v>10390</v>
      </c>
      <c r="B391" s="1">
        <v>45779</v>
      </c>
      <c r="C391" s="3" t="s">
        <v>206</v>
      </c>
      <c r="D391" s="3" t="s">
        <v>7</v>
      </c>
      <c r="E391" t="s">
        <v>32</v>
      </c>
      <c r="F391" t="s">
        <v>36</v>
      </c>
      <c r="G391" t="str">
        <f>IF(ISBLANK(Table1[[#This Row],[State]]),"Unknown",Table1[[#This Row],[State]])</f>
        <v>Maharastra</v>
      </c>
      <c r="H391" t="s">
        <v>33</v>
      </c>
      <c r="I391" t="s">
        <v>37</v>
      </c>
      <c r="J391" t="str">
        <f>IF(ISBLANK(Table1[[#This Row],[Product]]),"Unknown",Table1[[#This Row],[Product]])</f>
        <v>Mouse</v>
      </c>
      <c r="K391" s="3">
        <v>3</v>
      </c>
      <c r="L391" s="10">
        <v>799</v>
      </c>
      <c r="N391" t="str">
        <f>IF(ISBLANK(Table1[[#This Row],[Payment method]]),"Unknown",Table1[[#This Row],[Payment method]])</f>
        <v>Unknown</v>
      </c>
      <c r="O391" t="s">
        <v>58</v>
      </c>
      <c r="P391" t="str">
        <f>IF(Table1[[#This Row],[Unit price]]&gt;2000,"High Price","Standard Price")</f>
        <v>Standard Price</v>
      </c>
    </row>
    <row r="392" spans="1:16" x14ac:dyDescent="0.3">
      <c r="A392" s="3">
        <v>10391</v>
      </c>
      <c r="B392" s="1">
        <v>45662</v>
      </c>
      <c r="C392" s="3" t="s">
        <v>181</v>
      </c>
      <c r="D392" s="3" t="s">
        <v>19</v>
      </c>
      <c r="E392" t="s">
        <v>247</v>
      </c>
      <c r="F392" t="s">
        <v>15</v>
      </c>
      <c r="G392" t="str">
        <f>IF(ISBLANK(Table1[[#This Row],[State]]),"Unknown",Table1[[#This Row],[State]])</f>
        <v>Maharashtra</v>
      </c>
      <c r="H392" t="s">
        <v>9</v>
      </c>
      <c r="I392" t="s">
        <v>10</v>
      </c>
      <c r="J392" t="str">
        <f>IF(ISBLANK(Table1[[#This Row],[Product]]),"Unknown",Table1[[#This Row],[Product]])</f>
        <v>Chair</v>
      </c>
      <c r="K392" s="3">
        <v>3</v>
      </c>
      <c r="L392" s="10">
        <v>1999</v>
      </c>
      <c r="N392" t="str">
        <f>IF(ISBLANK(Table1[[#This Row],[Payment method]]),"Unknown",Table1[[#This Row],[Payment method]])</f>
        <v>Unknown</v>
      </c>
      <c r="O392" t="s">
        <v>5</v>
      </c>
      <c r="P392" t="str">
        <f>IF(Table1[[#This Row],[Unit price]]&gt;2000,"High Price","Standard Price")</f>
        <v>Standard Price</v>
      </c>
    </row>
    <row r="393" spans="1:16" x14ac:dyDescent="0.3">
      <c r="A393" s="3">
        <v>10392</v>
      </c>
      <c r="B393" s="1">
        <v>45658</v>
      </c>
      <c r="C393" s="3" t="s">
        <v>207</v>
      </c>
      <c r="D393" s="3" t="s">
        <v>14</v>
      </c>
      <c r="E393" t="s">
        <v>8</v>
      </c>
      <c r="F393" t="s">
        <v>52</v>
      </c>
      <c r="G393" t="str">
        <f>IF(ISBLANK(Table1[[#This Row],[State]]),"Unknown",Table1[[#This Row],[State]])</f>
        <v>Karnataka</v>
      </c>
      <c r="H393" t="s">
        <v>33</v>
      </c>
      <c r="I393" t="s">
        <v>49</v>
      </c>
      <c r="J393" t="str">
        <f>IF(ISBLANK(Table1[[#This Row],[Product]]),"Unknown",Table1[[#This Row],[Product]])</f>
        <v>Keyboard</v>
      </c>
      <c r="K393" s="3">
        <v>3</v>
      </c>
      <c r="L393" s="10">
        <v>299</v>
      </c>
      <c r="N393" t="str">
        <f>IF(ISBLANK(Table1[[#This Row],[Payment method]]),"Unknown",Table1[[#This Row],[Payment method]])</f>
        <v>Unknown</v>
      </c>
      <c r="O393" t="s">
        <v>58</v>
      </c>
      <c r="P393" t="str">
        <f>IF(Table1[[#This Row],[Unit price]]&gt;2000,"High Price","Standard Price")</f>
        <v>Standard Price</v>
      </c>
    </row>
    <row r="394" spans="1:16" x14ac:dyDescent="0.3">
      <c r="A394" s="3">
        <v>10393</v>
      </c>
      <c r="B394" s="1">
        <v>45769</v>
      </c>
      <c r="C394" s="3" t="s">
        <v>208</v>
      </c>
      <c r="D394" s="3" t="s">
        <v>14</v>
      </c>
      <c r="E394" t="s">
        <v>20</v>
      </c>
      <c r="F394" t="s">
        <v>20</v>
      </c>
      <c r="G394" t="str">
        <f>IF(ISBLANK(Table1[[#This Row],[State]]),"Unknown",Table1[[#This Row],[State]])</f>
        <v>Delhi</v>
      </c>
      <c r="H394" t="s">
        <v>2</v>
      </c>
      <c r="I394" t="s">
        <v>24</v>
      </c>
      <c r="J394" t="str">
        <f>IF(ISBLANK(Table1[[#This Row],[Product]]),"Unknown",Table1[[#This Row],[Product]])</f>
        <v>Jeans</v>
      </c>
      <c r="K394" s="3">
        <v>3</v>
      </c>
      <c r="L394" s="10">
        <v>499</v>
      </c>
      <c r="M394" t="s">
        <v>4</v>
      </c>
      <c r="N394" t="str">
        <f>IF(ISBLANK(Table1[[#This Row],[Payment method]]),"Unknown",Table1[[#This Row],[Payment method]])</f>
        <v>Net Banking</v>
      </c>
      <c r="O394" t="s">
        <v>12</v>
      </c>
      <c r="P394" t="str">
        <f>IF(Table1[[#This Row],[Unit price]]&gt;2000,"High Price","Standard Price")</f>
        <v>Standard Price</v>
      </c>
    </row>
    <row r="395" spans="1:16" x14ac:dyDescent="0.3">
      <c r="A395" s="3">
        <v>10394</v>
      </c>
      <c r="B395" s="1">
        <v>45767</v>
      </c>
      <c r="C395" s="3" t="s">
        <v>125</v>
      </c>
      <c r="D395" s="3" t="s">
        <v>23</v>
      </c>
      <c r="E395" t="s">
        <v>20</v>
      </c>
      <c r="F395" t="s">
        <v>20</v>
      </c>
      <c r="G395" t="str">
        <f>IF(ISBLANK(Table1[[#This Row],[State]]),"Unknown",Table1[[#This Row],[State]])</f>
        <v>Delhi</v>
      </c>
      <c r="H395" t="s">
        <v>9</v>
      </c>
      <c r="I395" t="s">
        <v>10</v>
      </c>
      <c r="J395" t="str">
        <f>IF(ISBLANK(Table1[[#This Row],[Product]]),"Unknown",Table1[[#This Row],[Product]])</f>
        <v>Chair</v>
      </c>
      <c r="K395" s="3">
        <v>5</v>
      </c>
      <c r="L395" s="10">
        <v>1299</v>
      </c>
      <c r="M395" t="s">
        <v>11</v>
      </c>
      <c r="N395" t="str">
        <f>IF(ISBLANK(Table1[[#This Row],[Payment method]]),"Unknown",Table1[[#This Row],[Payment method]])</f>
        <v>Cash on Delivery</v>
      </c>
      <c r="O395" t="s">
        <v>17</v>
      </c>
      <c r="P395" t="str">
        <f>IF(Table1[[#This Row],[Unit price]]&gt;2000,"High Price","Standard Price")</f>
        <v>Standard Price</v>
      </c>
    </row>
    <row r="396" spans="1:16" x14ac:dyDescent="0.3">
      <c r="A396" s="3">
        <v>10395</v>
      </c>
      <c r="B396" s="1">
        <v>45705</v>
      </c>
      <c r="C396" s="3" t="s">
        <v>84</v>
      </c>
      <c r="D396" s="3" t="s">
        <v>1</v>
      </c>
      <c r="E396" t="s">
        <v>8</v>
      </c>
      <c r="F396" t="s">
        <v>52</v>
      </c>
      <c r="G396" t="str">
        <f>IF(ISBLANK(Table1[[#This Row],[State]]),"Unknown",Table1[[#This Row],[State]])</f>
        <v>Karnataka</v>
      </c>
      <c r="H396" t="s">
        <v>2</v>
      </c>
      <c r="I396" t="s">
        <v>24</v>
      </c>
      <c r="J396" t="str">
        <f>IF(ISBLANK(Table1[[#This Row],[Product]]),"Unknown",Table1[[#This Row],[Product]])</f>
        <v>Jeans</v>
      </c>
      <c r="K396" s="3">
        <v>5</v>
      </c>
      <c r="L396" s="10">
        <v>499</v>
      </c>
      <c r="N396" t="str">
        <f>IF(ISBLANK(Table1[[#This Row],[Payment method]]),"Unknown",Table1[[#This Row],[Payment method]])</f>
        <v>Unknown</v>
      </c>
      <c r="O396" t="s">
        <v>58</v>
      </c>
      <c r="P396" t="str">
        <f>IF(Table1[[#This Row],[Unit price]]&gt;2000,"High Price","Standard Price")</f>
        <v>Standard Price</v>
      </c>
    </row>
    <row r="397" spans="1:16" x14ac:dyDescent="0.3">
      <c r="A397" s="3">
        <v>10396</v>
      </c>
      <c r="B397" s="1">
        <v>45701</v>
      </c>
      <c r="C397" s="3" t="s">
        <v>77</v>
      </c>
      <c r="D397" s="3" t="s">
        <v>43</v>
      </c>
      <c r="E397" t="s">
        <v>249</v>
      </c>
      <c r="F397" t="s">
        <v>36</v>
      </c>
      <c r="G397" t="str">
        <f>IF(ISBLANK(Table1[[#This Row],[State]]),"Unknown",Table1[[#This Row],[State]])</f>
        <v>Maharastra</v>
      </c>
      <c r="H397" t="s">
        <v>2</v>
      </c>
      <c r="I397" t="s">
        <v>24</v>
      </c>
      <c r="J397" t="str">
        <f>IF(ISBLANK(Table1[[#This Row],[Product]]),"Unknown",Table1[[#This Row],[Product]])</f>
        <v>Jeans</v>
      </c>
      <c r="K397" s="3">
        <v>4</v>
      </c>
      <c r="L397" s="10">
        <v>1999</v>
      </c>
      <c r="N397" t="str">
        <f>IF(ISBLANK(Table1[[#This Row],[Payment method]]),"Unknown",Table1[[#This Row],[Payment method]])</f>
        <v>Unknown</v>
      </c>
      <c r="O397" t="s">
        <v>12</v>
      </c>
      <c r="P397" t="str">
        <f>IF(Table1[[#This Row],[Unit price]]&gt;2000,"High Price","Standard Price")</f>
        <v>Standard Price</v>
      </c>
    </row>
    <row r="398" spans="1:16" x14ac:dyDescent="0.3">
      <c r="A398" s="3">
        <v>10397</v>
      </c>
      <c r="B398" s="1">
        <v>45671</v>
      </c>
      <c r="C398" s="3" t="s">
        <v>121</v>
      </c>
      <c r="D398" s="3" t="s">
        <v>57</v>
      </c>
      <c r="E398" t="s">
        <v>35</v>
      </c>
      <c r="F398" t="s">
        <v>15</v>
      </c>
      <c r="G398" t="str">
        <f>IF(ISBLANK(Table1[[#This Row],[State]]),"Unknown",Table1[[#This Row],[State]])</f>
        <v>Maharashtra</v>
      </c>
      <c r="H398" t="s">
        <v>33</v>
      </c>
      <c r="I398" t="s">
        <v>37</v>
      </c>
      <c r="J398" t="str">
        <f>IF(ISBLANK(Table1[[#This Row],[Product]]),"Unknown",Table1[[#This Row],[Product]])</f>
        <v>Mouse</v>
      </c>
      <c r="K398" s="3">
        <v>2</v>
      </c>
      <c r="L398" s="10">
        <v>799</v>
      </c>
      <c r="N398" t="str">
        <f>IF(ISBLANK(Table1[[#This Row],[Payment method]]),"Unknown",Table1[[#This Row],[Payment method]])</f>
        <v>Unknown</v>
      </c>
      <c r="O398" t="s">
        <v>58</v>
      </c>
      <c r="P398" t="str">
        <f>IF(Table1[[#This Row],[Unit price]]&gt;2000,"High Price","Standard Price")</f>
        <v>Standard Price</v>
      </c>
    </row>
    <row r="399" spans="1:16" x14ac:dyDescent="0.3">
      <c r="A399" s="3">
        <v>10398</v>
      </c>
      <c r="B399" s="1">
        <v>45811</v>
      </c>
      <c r="C399" s="3" t="s">
        <v>136</v>
      </c>
      <c r="D399" s="3" t="s">
        <v>19</v>
      </c>
      <c r="E399" t="s">
        <v>248</v>
      </c>
      <c r="F399" t="s">
        <v>52</v>
      </c>
      <c r="G399" t="str">
        <f>IF(ISBLANK(Table1[[#This Row],[State]]),"Unknown",Table1[[#This Row],[State]])</f>
        <v>Karnataka</v>
      </c>
      <c r="H399" t="s">
        <v>9</v>
      </c>
      <c r="I399" t="s">
        <v>16</v>
      </c>
      <c r="J399" t="str">
        <f>IF(ISBLANK(Table1[[#This Row],[Product]]),"Unknown",Table1[[#This Row],[Product]])</f>
        <v>Lamp</v>
      </c>
      <c r="K399" s="3">
        <v>0</v>
      </c>
      <c r="L399" s="10">
        <v>299</v>
      </c>
      <c r="N399" t="str">
        <f>IF(ISBLANK(Table1[[#This Row],[Payment method]]),"Unknown",Table1[[#This Row],[Payment method]])</f>
        <v>Unknown</v>
      </c>
      <c r="O399" t="s">
        <v>5</v>
      </c>
      <c r="P399" t="str">
        <f>IF(Table1[[#This Row],[Unit price]]&gt;2000,"High Price","Standard Price")</f>
        <v>Standard Price</v>
      </c>
    </row>
    <row r="400" spans="1:16" x14ac:dyDescent="0.3">
      <c r="A400" s="3">
        <v>10399</v>
      </c>
      <c r="B400" s="1">
        <v>45798</v>
      </c>
      <c r="C400" s="3" t="s">
        <v>113</v>
      </c>
      <c r="D400" s="3" t="s">
        <v>19</v>
      </c>
      <c r="E400" t="s">
        <v>45</v>
      </c>
      <c r="F400" t="s">
        <v>54</v>
      </c>
      <c r="G400" t="str">
        <f>IF(ISBLANK(Table1[[#This Row],[State]]),"Unknown",Table1[[#This Row],[State]])</f>
        <v>Uttar Pradesh</v>
      </c>
      <c r="H400" t="s">
        <v>33</v>
      </c>
      <c r="I400" t="s">
        <v>49</v>
      </c>
      <c r="J400" t="str">
        <f>IF(ISBLANK(Table1[[#This Row],[Product]]),"Unknown",Table1[[#This Row],[Product]])</f>
        <v>Keyboard</v>
      </c>
      <c r="K400" s="3">
        <v>1</v>
      </c>
      <c r="L400" s="10">
        <v>499</v>
      </c>
      <c r="N400" t="str">
        <f>IF(ISBLANK(Table1[[#This Row],[Payment method]]),"Unknown",Table1[[#This Row],[Payment method]])</f>
        <v>Unknown</v>
      </c>
      <c r="O400" t="s">
        <v>17</v>
      </c>
      <c r="P400" t="str">
        <f>IF(Table1[[#This Row],[Unit price]]&gt;2000,"High Price","Standard Price")</f>
        <v>Standard Price</v>
      </c>
    </row>
    <row r="401" spans="1:16" x14ac:dyDescent="0.3">
      <c r="A401" s="3">
        <v>10400</v>
      </c>
      <c r="B401" s="1">
        <v>45665</v>
      </c>
      <c r="C401" s="3" t="s">
        <v>59</v>
      </c>
      <c r="D401" s="3" t="s">
        <v>19</v>
      </c>
      <c r="E401" t="s">
        <v>45</v>
      </c>
      <c r="F401" t="s">
        <v>54</v>
      </c>
      <c r="G401" t="str">
        <f>IF(ISBLANK(Table1[[#This Row],[State]]),"Unknown",Table1[[#This Row],[State]])</f>
        <v>Uttar Pradesh</v>
      </c>
      <c r="H401" t="s">
        <v>2</v>
      </c>
      <c r="I401" t="s">
        <v>3</v>
      </c>
      <c r="J401" t="str">
        <f>IF(ISBLANK(Table1[[#This Row],[Product]]),"Unknown",Table1[[#This Row],[Product]])</f>
        <v>T-Shirt</v>
      </c>
      <c r="K401" s="3">
        <v>4</v>
      </c>
      <c r="L401" s="10">
        <v>299</v>
      </c>
      <c r="N401" t="str">
        <f>IF(ISBLANK(Table1[[#This Row],[Payment method]]),"Unknown",Table1[[#This Row],[Payment method]])</f>
        <v>Unknown</v>
      </c>
      <c r="O401" t="s">
        <v>17</v>
      </c>
      <c r="P401" t="str">
        <f>IF(Table1[[#This Row],[Unit price]]&gt;2000,"High Price","Standard Price")</f>
        <v>Standard Price</v>
      </c>
    </row>
    <row r="402" spans="1:16" x14ac:dyDescent="0.3">
      <c r="A402" s="3">
        <v>10401</v>
      </c>
      <c r="B402" s="1">
        <v>45760</v>
      </c>
      <c r="C402" s="3" t="s">
        <v>137</v>
      </c>
      <c r="D402" s="3" t="s">
        <v>23</v>
      </c>
      <c r="E402" t="s">
        <v>32</v>
      </c>
      <c r="F402" t="s">
        <v>36</v>
      </c>
      <c r="G402" t="str">
        <f>IF(ISBLANK(Table1[[#This Row],[State]]),"Unknown",Table1[[#This Row],[State]])</f>
        <v>Maharastra</v>
      </c>
      <c r="H402" t="s">
        <v>2</v>
      </c>
      <c r="I402" t="s">
        <v>3</v>
      </c>
      <c r="J402" t="str">
        <f>IF(ISBLANK(Table1[[#This Row],[Product]]),"Unknown",Table1[[#This Row],[Product]])</f>
        <v>T-Shirt</v>
      </c>
      <c r="K402" s="3">
        <v>4</v>
      </c>
      <c r="L402" s="10">
        <v>1299</v>
      </c>
      <c r="M402" t="s">
        <v>11</v>
      </c>
      <c r="N402" t="str">
        <f>IF(ISBLANK(Table1[[#This Row],[Payment method]]),"Unknown",Table1[[#This Row],[Payment method]])</f>
        <v>Cash on Delivery</v>
      </c>
      <c r="O402" t="s">
        <v>12</v>
      </c>
      <c r="P402" t="str">
        <f>IF(Table1[[#This Row],[Unit price]]&gt;2000,"High Price","Standard Price")</f>
        <v>Standard Price</v>
      </c>
    </row>
    <row r="403" spans="1:16" x14ac:dyDescent="0.3">
      <c r="A403" s="3">
        <v>10402</v>
      </c>
      <c r="B403" s="1">
        <v>45742</v>
      </c>
      <c r="C403" s="3" t="s">
        <v>209</v>
      </c>
      <c r="D403" s="3" t="s">
        <v>43</v>
      </c>
      <c r="E403" t="s">
        <v>20</v>
      </c>
      <c r="F403" t="s">
        <v>20</v>
      </c>
      <c r="G403" t="str">
        <f>IF(ISBLANK(Table1[[#This Row],[State]]),"Unknown",Table1[[#This Row],[State]])</f>
        <v>Delhi</v>
      </c>
      <c r="H403" t="s">
        <v>33</v>
      </c>
      <c r="I403" t="s">
        <v>37</v>
      </c>
      <c r="J403" t="str">
        <f>IF(ISBLANK(Table1[[#This Row],[Product]]),"Unknown",Table1[[#This Row],[Product]])</f>
        <v>Mouse</v>
      </c>
      <c r="K403" s="3">
        <v>5</v>
      </c>
      <c r="L403" s="10">
        <v>1999</v>
      </c>
      <c r="N403" t="str">
        <f>IF(ISBLANK(Table1[[#This Row],[Payment method]]),"Unknown",Table1[[#This Row],[Payment method]])</f>
        <v>Unknown</v>
      </c>
      <c r="O403" t="s">
        <v>17</v>
      </c>
      <c r="P403" t="str">
        <f>IF(Table1[[#This Row],[Unit price]]&gt;2000,"High Price","Standard Price")</f>
        <v>Standard Price</v>
      </c>
    </row>
    <row r="404" spans="1:16" x14ac:dyDescent="0.3">
      <c r="A404" s="3">
        <v>10403</v>
      </c>
      <c r="B404" s="1">
        <v>45720</v>
      </c>
      <c r="C404" s="3" t="s">
        <v>176</v>
      </c>
      <c r="D404" s="3" t="s">
        <v>7</v>
      </c>
      <c r="E404" t="s">
        <v>248</v>
      </c>
      <c r="F404" t="s">
        <v>52</v>
      </c>
      <c r="G404" t="str">
        <f>IF(ISBLANK(Table1[[#This Row],[State]]),"Unknown",Table1[[#This Row],[State]])</f>
        <v>Karnataka</v>
      </c>
      <c r="H404" t="s">
        <v>2</v>
      </c>
      <c r="I404" t="s">
        <v>24</v>
      </c>
      <c r="J404" t="str">
        <f>IF(ISBLANK(Table1[[#This Row],[Product]]),"Unknown",Table1[[#This Row],[Product]])</f>
        <v>Jeans</v>
      </c>
      <c r="K404" s="3">
        <v>3</v>
      </c>
      <c r="L404" s="10">
        <v>799</v>
      </c>
      <c r="M404" t="s">
        <v>26</v>
      </c>
      <c r="N404" t="str">
        <f>IF(ISBLANK(Table1[[#This Row],[Payment method]]),"Unknown",Table1[[#This Row],[Payment method]])</f>
        <v>Card</v>
      </c>
      <c r="O404" t="s">
        <v>17</v>
      </c>
      <c r="P404" t="str">
        <f>IF(Table1[[#This Row],[Unit price]]&gt;2000,"High Price","Standard Price")</f>
        <v>Standard Price</v>
      </c>
    </row>
    <row r="405" spans="1:16" x14ac:dyDescent="0.3">
      <c r="A405" s="3">
        <v>10404</v>
      </c>
      <c r="B405" s="1">
        <v>45820</v>
      </c>
      <c r="C405" s="3" t="s">
        <v>47</v>
      </c>
      <c r="D405" s="3" t="s">
        <v>57</v>
      </c>
      <c r="E405" t="s">
        <v>32</v>
      </c>
      <c r="F405" t="s">
        <v>15</v>
      </c>
      <c r="G405" t="str">
        <f>IF(ISBLANK(Table1[[#This Row],[State]]),"Unknown",Table1[[#This Row],[State]])</f>
        <v>Maharashtra</v>
      </c>
      <c r="H405" t="s">
        <v>2</v>
      </c>
      <c r="I405" t="s">
        <v>3</v>
      </c>
      <c r="J405" t="str">
        <f>IF(ISBLANK(Table1[[#This Row],[Product]]),"Unknown",Table1[[#This Row],[Product]])</f>
        <v>T-Shirt</v>
      </c>
      <c r="K405" s="3">
        <v>3</v>
      </c>
      <c r="L405" s="10">
        <v>299</v>
      </c>
      <c r="N405" t="str">
        <f>IF(ISBLANK(Table1[[#This Row],[Payment method]]),"Unknown",Table1[[#This Row],[Payment method]])</f>
        <v>Unknown</v>
      </c>
      <c r="O405" t="s">
        <v>17</v>
      </c>
      <c r="P405" t="str">
        <f>IF(Table1[[#This Row],[Unit price]]&gt;2000,"High Price","Standard Price")</f>
        <v>Standard Price</v>
      </c>
    </row>
    <row r="406" spans="1:16" x14ac:dyDescent="0.3">
      <c r="A406" s="3">
        <v>10405</v>
      </c>
      <c r="B406" s="1">
        <v>45730</v>
      </c>
      <c r="C406" s="3" t="s">
        <v>82</v>
      </c>
      <c r="D406" s="3" t="s">
        <v>14</v>
      </c>
      <c r="E406" t="s">
        <v>32</v>
      </c>
      <c r="F406" t="s">
        <v>15</v>
      </c>
      <c r="G406" t="str">
        <f>IF(ISBLANK(Table1[[#This Row],[State]]),"Unknown",Table1[[#This Row],[State]])</f>
        <v>Maharashtra</v>
      </c>
      <c r="H406" t="s">
        <v>33</v>
      </c>
      <c r="I406" t="s">
        <v>49</v>
      </c>
      <c r="J406" t="str">
        <f>IF(ISBLANK(Table1[[#This Row],[Product]]),"Unknown",Table1[[#This Row],[Product]])</f>
        <v>Keyboard</v>
      </c>
      <c r="K406" s="3">
        <v>5</v>
      </c>
      <c r="L406" s="10">
        <v>799</v>
      </c>
      <c r="N406" t="str">
        <f>IF(ISBLANK(Table1[[#This Row],[Payment method]]),"Unknown",Table1[[#This Row],[Payment method]])</f>
        <v>Unknown</v>
      </c>
      <c r="O406" t="s">
        <v>5</v>
      </c>
      <c r="P406" t="str">
        <f>IF(Table1[[#This Row],[Unit price]]&gt;2000,"High Price","Standard Price")</f>
        <v>Standard Price</v>
      </c>
    </row>
    <row r="407" spans="1:16" x14ac:dyDescent="0.3">
      <c r="A407" s="3">
        <v>10406</v>
      </c>
      <c r="B407" s="1">
        <v>45671</v>
      </c>
      <c r="C407" s="3" t="s">
        <v>93</v>
      </c>
      <c r="D407" s="3" t="s">
        <v>23</v>
      </c>
      <c r="E407" t="s">
        <v>35</v>
      </c>
      <c r="F407" t="s">
        <v>15</v>
      </c>
      <c r="G407" t="str">
        <f>IF(ISBLANK(Table1[[#This Row],[State]]),"Unknown",Table1[[#This Row],[State]])</f>
        <v>Maharashtra</v>
      </c>
      <c r="H407" t="s">
        <v>2</v>
      </c>
      <c r="I407" t="s">
        <v>24</v>
      </c>
      <c r="J407" t="str">
        <f>IF(ISBLANK(Table1[[#This Row],[Product]]),"Unknown",Table1[[#This Row],[Product]])</f>
        <v>Jeans</v>
      </c>
      <c r="K407" s="3">
        <v>5</v>
      </c>
      <c r="L407" s="10">
        <v>799</v>
      </c>
      <c r="M407" t="s">
        <v>26</v>
      </c>
      <c r="N407" t="str">
        <f>IF(ISBLANK(Table1[[#This Row],[Payment method]]),"Unknown",Table1[[#This Row],[Payment method]])</f>
        <v>Card</v>
      </c>
      <c r="O407" t="s">
        <v>12</v>
      </c>
      <c r="P407" t="str">
        <f>IF(Table1[[#This Row],[Unit price]]&gt;2000,"High Price","Standard Price")</f>
        <v>Standard Price</v>
      </c>
    </row>
    <row r="408" spans="1:16" x14ac:dyDescent="0.3">
      <c r="A408" s="3">
        <v>10407</v>
      </c>
      <c r="B408" s="1">
        <v>45666</v>
      </c>
      <c r="C408" s="3" t="s">
        <v>144</v>
      </c>
      <c r="D408" s="3" t="s">
        <v>39</v>
      </c>
      <c r="E408" t="s">
        <v>35</v>
      </c>
      <c r="F408" t="s">
        <v>15</v>
      </c>
      <c r="G408" t="str">
        <f>IF(ISBLANK(Table1[[#This Row],[State]]),"Unknown",Table1[[#This Row],[State]])</f>
        <v>Maharashtra</v>
      </c>
      <c r="H408" t="s">
        <v>33</v>
      </c>
      <c r="I408" t="s">
        <v>37</v>
      </c>
      <c r="J408" t="str">
        <f>IF(ISBLANK(Table1[[#This Row],[Product]]),"Unknown",Table1[[#This Row],[Product]])</f>
        <v>Mouse</v>
      </c>
      <c r="K408" s="3">
        <v>5</v>
      </c>
      <c r="L408" s="10">
        <v>799</v>
      </c>
      <c r="N408" t="str">
        <f>IF(ISBLANK(Table1[[#This Row],[Payment method]]),"Unknown",Table1[[#This Row],[Payment method]])</f>
        <v>Unknown</v>
      </c>
      <c r="O408" t="s">
        <v>17</v>
      </c>
      <c r="P408" t="str">
        <f>IF(Table1[[#This Row],[Unit price]]&gt;2000,"High Price","Standard Price")</f>
        <v>Standard Price</v>
      </c>
    </row>
    <row r="409" spans="1:16" x14ac:dyDescent="0.3">
      <c r="A409" s="3">
        <v>10408</v>
      </c>
      <c r="B409" s="1">
        <v>45819</v>
      </c>
      <c r="C409" s="3" t="s">
        <v>13</v>
      </c>
      <c r="D409" s="3" t="s">
        <v>1</v>
      </c>
      <c r="E409" t="s">
        <v>45</v>
      </c>
      <c r="F409" t="s">
        <v>54</v>
      </c>
      <c r="G409" t="str">
        <f>IF(ISBLANK(Table1[[#This Row],[State]]),"Unknown",Table1[[#This Row],[State]])</f>
        <v>Uttar Pradesh</v>
      </c>
      <c r="H409" t="s">
        <v>33</v>
      </c>
      <c r="I409" t="s">
        <v>37</v>
      </c>
      <c r="J409" t="str">
        <f>IF(ISBLANK(Table1[[#This Row],[Product]]),"Unknown",Table1[[#This Row],[Product]])</f>
        <v>Mouse</v>
      </c>
      <c r="K409" s="3">
        <v>3</v>
      </c>
      <c r="L409" s="10">
        <v>299</v>
      </c>
      <c r="M409" t="s">
        <v>26</v>
      </c>
      <c r="N409" t="str">
        <f>IF(ISBLANK(Table1[[#This Row],[Payment method]]),"Unknown",Table1[[#This Row],[Payment method]])</f>
        <v>Card</v>
      </c>
      <c r="O409" t="s">
        <v>5</v>
      </c>
      <c r="P409" t="str">
        <f>IF(Table1[[#This Row],[Unit price]]&gt;2000,"High Price","Standard Price")</f>
        <v>Standard Price</v>
      </c>
    </row>
    <row r="410" spans="1:16" x14ac:dyDescent="0.3">
      <c r="A410" s="3">
        <v>10409</v>
      </c>
      <c r="B410" s="1">
        <v>45681</v>
      </c>
      <c r="C410" s="3" t="s">
        <v>50</v>
      </c>
      <c r="D410" s="3" t="s">
        <v>1</v>
      </c>
      <c r="E410" t="s">
        <v>45</v>
      </c>
      <c r="F410" t="s">
        <v>54</v>
      </c>
      <c r="G410" t="str">
        <f>IF(ISBLANK(Table1[[#This Row],[State]]),"Unknown",Table1[[#This Row],[State]])</f>
        <v>Uttar Pradesh</v>
      </c>
      <c r="H410" t="s">
        <v>33</v>
      </c>
      <c r="I410" t="s">
        <v>21</v>
      </c>
      <c r="J410" t="str">
        <f>IF(ISBLANK(Table1[[#This Row],[Product]]),"Unknown",Table1[[#This Row],[Product]])</f>
        <v>Headphones</v>
      </c>
      <c r="K410" s="3">
        <v>3</v>
      </c>
      <c r="L410" s="10">
        <v>499</v>
      </c>
      <c r="N410" t="str">
        <f>IF(ISBLANK(Table1[[#This Row],[Payment method]]),"Unknown",Table1[[#This Row],[Payment method]])</f>
        <v>Unknown</v>
      </c>
      <c r="O410" t="s">
        <v>12</v>
      </c>
      <c r="P410" t="str">
        <f>IF(Table1[[#This Row],[Unit price]]&gt;2000,"High Price","Standard Price")</f>
        <v>Standard Price</v>
      </c>
    </row>
    <row r="411" spans="1:16" x14ac:dyDescent="0.3">
      <c r="A411" s="3">
        <v>10410</v>
      </c>
      <c r="B411" s="1">
        <v>45781</v>
      </c>
      <c r="C411" s="3" t="s">
        <v>132</v>
      </c>
      <c r="D411" s="3" t="s">
        <v>7</v>
      </c>
      <c r="E411" t="s">
        <v>32</v>
      </c>
      <c r="F411" t="s">
        <v>15</v>
      </c>
      <c r="G411" t="str">
        <f>IF(ISBLANK(Table1[[#This Row],[State]]),"Unknown",Table1[[#This Row],[State]])</f>
        <v>Maharashtra</v>
      </c>
      <c r="H411" t="s">
        <v>33</v>
      </c>
      <c r="J411" t="str">
        <f>IF(ISBLANK(Table1[[#This Row],[Product]]),"Unknown",Table1[[#This Row],[Product]])</f>
        <v>Unknown</v>
      </c>
      <c r="K411" s="3">
        <v>2</v>
      </c>
      <c r="L411" s="10">
        <v>299</v>
      </c>
      <c r="N411" t="str">
        <f>IF(ISBLANK(Table1[[#This Row],[Payment method]]),"Unknown",Table1[[#This Row],[Payment method]])</f>
        <v>Unknown</v>
      </c>
      <c r="O411" t="s">
        <v>58</v>
      </c>
      <c r="P411" t="str">
        <f>IF(Table1[[#This Row],[Unit price]]&gt;2000,"High Price","Standard Price")</f>
        <v>Standard Price</v>
      </c>
    </row>
    <row r="412" spans="1:16" x14ac:dyDescent="0.3">
      <c r="A412" s="3">
        <v>10411</v>
      </c>
      <c r="B412" s="1">
        <v>45791</v>
      </c>
      <c r="C412" s="3" t="s">
        <v>125</v>
      </c>
      <c r="D412" s="3" t="s">
        <v>7</v>
      </c>
      <c r="E412" t="s">
        <v>45</v>
      </c>
      <c r="F412" t="s">
        <v>54</v>
      </c>
      <c r="G412" t="str">
        <f>IF(ISBLANK(Table1[[#This Row],[State]]),"Unknown",Table1[[#This Row],[State]])</f>
        <v>Uttar Pradesh</v>
      </c>
      <c r="H412" t="s">
        <v>9</v>
      </c>
      <c r="I412" t="s">
        <v>16</v>
      </c>
      <c r="J412" t="str">
        <f>IF(ISBLANK(Table1[[#This Row],[Product]]),"Unknown",Table1[[#This Row],[Product]])</f>
        <v>Lamp</v>
      </c>
      <c r="K412" s="3">
        <v>1</v>
      </c>
      <c r="L412" s="10">
        <v>1299</v>
      </c>
      <c r="M412" t="s">
        <v>4</v>
      </c>
      <c r="N412" t="str">
        <f>IF(ISBLANK(Table1[[#This Row],[Payment method]]),"Unknown",Table1[[#This Row],[Payment method]])</f>
        <v>Net Banking</v>
      </c>
      <c r="O412" t="s">
        <v>5</v>
      </c>
      <c r="P412" t="str">
        <f>IF(Table1[[#This Row],[Unit price]]&gt;2000,"High Price","Standard Price")</f>
        <v>Standard Price</v>
      </c>
    </row>
    <row r="413" spans="1:16" x14ac:dyDescent="0.3">
      <c r="A413" s="3">
        <v>10412</v>
      </c>
      <c r="B413" s="1">
        <v>45728</v>
      </c>
      <c r="C413" s="3" t="s">
        <v>158</v>
      </c>
      <c r="D413" s="3" t="s">
        <v>43</v>
      </c>
      <c r="E413" t="s">
        <v>20</v>
      </c>
      <c r="F413" t="s">
        <v>20</v>
      </c>
      <c r="G413" t="str">
        <f>IF(ISBLANK(Table1[[#This Row],[State]]),"Unknown",Table1[[#This Row],[State]])</f>
        <v>Delhi</v>
      </c>
      <c r="H413" t="s">
        <v>33</v>
      </c>
      <c r="I413" t="s">
        <v>21</v>
      </c>
      <c r="J413" t="str">
        <f>IF(ISBLANK(Table1[[#This Row],[Product]]),"Unknown",Table1[[#This Row],[Product]])</f>
        <v>Headphones</v>
      </c>
      <c r="K413" s="3">
        <v>3</v>
      </c>
      <c r="L413" s="10">
        <v>799</v>
      </c>
      <c r="N413" t="str">
        <f>IF(ISBLANK(Table1[[#This Row],[Payment method]]),"Unknown",Table1[[#This Row],[Payment method]])</f>
        <v>Unknown</v>
      </c>
      <c r="O413" t="s">
        <v>58</v>
      </c>
      <c r="P413" t="str">
        <f>IF(Table1[[#This Row],[Unit price]]&gt;2000,"High Price","Standard Price")</f>
        <v>Standard Price</v>
      </c>
    </row>
    <row r="414" spans="1:16" x14ac:dyDescent="0.3">
      <c r="A414" s="3">
        <v>10413</v>
      </c>
      <c r="B414" s="1">
        <v>45805</v>
      </c>
      <c r="C414" s="3" t="s">
        <v>208</v>
      </c>
      <c r="D414" s="3" t="s">
        <v>19</v>
      </c>
      <c r="E414" t="s">
        <v>247</v>
      </c>
      <c r="F414" t="s">
        <v>15</v>
      </c>
      <c r="G414" t="str">
        <f>IF(ISBLANK(Table1[[#This Row],[State]]),"Unknown",Table1[[#This Row],[State]])</f>
        <v>Maharashtra</v>
      </c>
      <c r="H414" t="s">
        <v>9</v>
      </c>
      <c r="J414" t="str">
        <f>IF(ISBLANK(Table1[[#This Row],[Product]]),"Unknown",Table1[[#This Row],[Product]])</f>
        <v>Unknown</v>
      </c>
      <c r="K414" s="3">
        <v>3</v>
      </c>
      <c r="L414" s="10">
        <v>799</v>
      </c>
      <c r="N414" t="str">
        <f>IF(ISBLANK(Table1[[#This Row],[Payment method]]),"Unknown",Table1[[#This Row],[Payment method]])</f>
        <v>Unknown</v>
      </c>
      <c r="O414" t="s">
        <v>12</v>
      </c>
      <c r="P414" t="str">
        <f>IF(Table1[[#This Row],[Unit price]]&gt;2000,"High Price","Standard Price")</f>
        <v>Standard Price</v>
      </c>
    </row>
    <row r="415" spans="1:16" x14ac:dyDescent="0.3">
      <c r="A415" s="3">
        <v>10414</v>
      </c>
      <c r="B415" s="1">
        <v>45751</v>
      </c>
      <c r="C415" s="3" t="s">
        <v>92</v>
      </c>
      <c r="D415" s="3" t="s">
        <v>1</v>
      </c>
      <c r="E415" t="s">
        <v>32</v>
      </c>
      <c r="F415" t="s">
        <v>36</v>
      </c>
      <c r="G415" t="str">
        <f>IF(ISBLANK(Table1[[#This Row],[State]]),"Unknown",Table1[[#This Row],[State]])</f>
        <v>Maharastra</v>
      </c>
      <c r="H415" t="s">
        <v>33</v>
      </c>
      <c r="I415" t="s">
        <v>37</v>
      </c>
      <c r="J415" t="str">
        <f>IF(ISBLANK(Table1[[#This Row],[Product]]),"Unknown",Table1[[#This Row],[Product]])</f>
        <v>Mouse</v>
      </c>
      <c r="K415" s="3">
        <v>2</v>
      </c>
      <c r="L415" s="10">
        <v>1999</v>
      </c>
      <c r="N415" t="str">
        <f>IF(ISBLANK(Table1[[#This Row],[Payment method]]),"Unknown",Table1[[#This Row],[Payment method]])</f>
        <v>Unknown</v>
      </c>
      <c r="O415" t="s">
        <v>12</v>
      </c>
      <c r="P415" t="str">
        <f>IF(Table1[[#This Row],[Unit price]]&gt;2000,"High Price","Standard Price")</f>
        <v>Standard Price</v>
      </c>
    </row>
    <row r="416" spans="1:16" x14ac:dyDescent="0.3">
      <c r="A416" s="3">
        <v>10415</v>
      </c>
      <c r="B416" s="1">
        <v>45709</v>
      </c>
      <c r="C416" s="3" t="s">
        <v>197</v>
      </c>
      <c r="D416" s="3" t="s">
        <v>39</v>
      </c>
      <c r="E416" t="s">
        <v>45</v>
      </c>
      <c r="F416" t="s">
        <v>54</v>
      </c>
      <c r="G416" t="str">
        <f>IF(ISBLANK(Table1[[#This Row],[State]]),"Unknown",Table1[[#This Row],[State]])</f>
        <v>Uttar Pradesh</v>
      </c>
      <c r="H416" t="s">
        <v>2</v>
      </c>
      <c r="I416" t="s">
        <v>3</v>
      </c>
      <c r="J416" t="str">
        <f>IF(ISBLANK(Table1[[#This Row],[Product]]),"Unknown",Table1[[#This Row],[Product]])</f>
        <v>T-Shirt</v>
      </c>
      <c r="K416" s="3">
        <v>0</v>
      </c>
      <c r="L416" s="10">
        <v>499</v>
      </c>
      <c r="N416" t="str">
        <f>IF(ISBLANK(Table1[[#This Row],[Payment method]]),"Unknown",Table1[[#This Row],[Payment method]])</f>
        <v>Unknown</v>
      </c>
      <c r="O416" t="s">
        <v>5</v>
      </c>
      <c r="P416" t="str">
        <f>IF(Table1[[#This Row],[Unit price]]&gt;2000,"High Price","Standard Price")</f>
        <v>Standard Price</v>
      </c>
    </row>
    <row r="417" spans="1:16" x14ac:dyDescent="0.3">
      <c r="A417" s="3">
        <v>10416</v>
      </c>
      <c r="B417" s="1">
        <v>45799</v>
      </c>
      <c r="C417" s="3" t="s">
        <v>142</v>
      </c>
      <c r="D417" s="3" t="s">
        <v>43</v>
      </c>
      <c r="E417" t="s">
        <v>45</v>
      </c>
      <c r="F417" t="s">
        <v>54</v>
      </c>
      <c r="G417" t="str">
        <f>IF(ISBLANK(Table1[[#This Row],[State]]),"Unknown",Table1[[#This Row],[State]])</f>
        <v>Uttar Pradesh</v>
      </c>
      <c r="H417" t="s">
        <v>2</v>
      </c>
      <c r="I417" t="s">
        <v>3</v>
      </c>
      <c r="J417" t="str">
        <f>IF(ISBLANK(Table1[[#This Row],[Product]]),"Unknown",Table1[[#This Row],[Product]])</f>
        <v>T-Shirt</v>
      </c>
      <c r="K417" s="3">
        <v>2</v>
      </c>
      <c r="L417" s="10">
        <v>1999</v>
      </c>
      <c r="M417" t="s">
        <v>26</v>
      </c>
      <c r="N417" t="str">
        <f>IF(ISBLANK(Table1[[#This Row],[Payment method]]),"Unknown",Table1[[#This Row],[Payment method]])</f>
        <v>Card</v>
      </c>
      <c r="O417" t="s">
        <v>12</v>
      </c>
      <c r="P417" t="str">
        <f>IF(Table1[[#This Row],[Unit price]]&gt;2000,"High Price","Standard Price")</f>
        <v>Standard Price</v>
      </c>
    </row>
    <row r="418" spans="1:16" x14ac:dyDescent="0.3">
      <c r="A418" s="3">
        <v>10417</v>
      </c>
      <c r="B418" s="1">
        <v>45790</v>
      </c>
      <c r="C418" s="3" t="s">
        <v>0</v>
      </c>
      <c r="D418" s="3" t="s">
        <v>39</v>
      </c>
      <c r="E418" t="s">
        <v>20</v>
      </c>
      <c r="F418" t="s">
        <v>20</v>
      </c>
      <c r="G418" t="str">
        <f>IF(ISBLANK(Table1[[#This Row],[State]]),"Unknown",Table1[[#This Row],[State]])</f>
        <v>Delhi</v>
      </c>
      <c r="H418" t="s">
        <v>9</v>
      </c>
      <c r="I418" t="s">
        <v>10</v>
      </c>
      <c r="J418" t="str">
        <f>IF(ISBLANK(Table1[[#This Row],[Product]]),"Unknown",Table1[[#This Row],[Product]])</f>
        <v>Chair</v>
      </c>
      <c r="K418" s="3">
        <v>3</v>
      </c>
      <c r="L418" s="10">
        <v>799</v>
      </c>
      <c r="N418" t="str">
        <f>IF(ISBLANK(Table1[[#This Row],[Payment method]]),"Unknown",Table1[[#This Row],[Payment method]])</f>
        <v>Unknown</v>
      </c>
      <c r="O418" t="s">
        <v>12</v>
      </c>
      <c r="P418" t="str">
        <f>IF(Table1[[#This Row],[Unit price]]&gt;2000,"High Price","Standard Price")</f>
        <v>Standard Price</v>
      </c>
    </row>
    <row r="419" spans="1:16" x14ac:dyDescent="0.3">
      <c r="A419" s="3">
        <v>10418</v>
      </c>
      <c r="B419" s="1">
        <v>45679</v>
      </c>
      <c r="C419" s="3" t="s">
        <v>195</v>
      </c>
      <c r="D419" s="3" t="s">
        <v>1</v>
      </c>
      <c r="E419" t="s">
        <v>32</v>
      </c>
      <c r="F419" t="s">
        <v>15</v>
      </c>
      <c r="G419" t="str">
        <f>IF(ISBLANK(Table1[[#This Row],[State]]),"Unknown",Table1[[#This Row],[State]])</f>
        <v>Maharashtra</v>
      </c>
      <c r="H419" t="s">
        <v>9</v>
      </c>
      <c r="I419" t="s">
        <v>16</v>
      </c>
      <c r="J419" t="str">
        <f>IF(ISBLANK(Table1[[#This Row],[Product]]),"Unknown",Table1[[#This Row],[Product]])</f>
        <v>Lamp</v>
      </c>
      <c r="K419" s="3">
        <v>3</v>
      </c>
      <c r="L419" s="10">
        <v>1999</v>
      </c>
      <c r="N419" t="str">
        <f>IF(ISBLANK(Table1[[#This Row],[Payment method]]),"Unknown",Table1[[#This Row],[Payment method]])</f>
        <v>Unknown</v>
      </c>
      <c r="O419" t="s">
        <v>58</v>
      </c>
      <c r="P419" t="str">
        <f>IF(Table1[[#This Row],[Unit price]]&gt;2000,"High Price","Standard Price")</f>
        <v>Standard Price</v>
      </c>
    </row>
    <row r="420" spans="1:16" x14ac:dyDescent="0.3">
      <c r="A420" s="3">
        <v>10419</v>
      </c>
      <c r="B420" s="1">
        <v>45678</v>
      </c>
      <c r="C420" s="3" t="s">
        <v>210</v>
      </c>
      <c r="D420" s="3" t="s">
        <v>23</v>
      </c>
      <c r="E420" t="s">
        <v>35</v>
      </c>
      <c r="F420" t="s">
        <v>36</v>
      </c>
      <c r="G420" t="str">
        <f>IF(ISBLANK(Table1[[#This Row],[State]]),"Unknown",Table1[[#This Row],[State]])</f>
        <v>Maharastra</v>
      </c>
      <c r="H420" t="s">
        <v>2</v>
      </c>
      <c r="I420" t="s">
        <v>24</v>
      </c>
      <c r="J420" t="str">
        <f>IF(ISBLANK(Table1[[#This Row],[Product]]),"Unknown",Table1[[#This Row],[Product]])</f>
        <v>Jeans</v>
      </c>
      <c r="K420" s="3">
        <v>3</v>
      </c>
      <c r="L420" s="10">
        <v>299</v>
      </c>
      <c r="M420" t="s">
        <v>11</v>
      </c>
      <c r="N420" t="str">
        <f>IF(ISBLANK(Table1[[#This Row],[Payment method]]),"Unknown",Table1[[#This Row],[Payment method]])</f>
        <v>Cash on Delivery</v>
      </c>
      <c r="O420" t="s">
        <v>12</v>
      </c>
      <c r="P420" t="str">
        <f>IF(Table1[[#This Row],[Unit price]]&gt;2000,"High Price","Standard Price")</f>
        <v>Standard Price</v>
      </c>
    </row>
    <row r="421" spans="1:16" x14ac:dyDescent="0.3">
      <c r="A421" s="3">
        <v>10420</v>
      </c>
      <c r="B421" s="1">
        <v>45820</v>
      </c>
      <c r="C421" s="3" t="s">
        <v>106</v>
      </c>
      <c r="D421" s="3" t="s">
        <v>1</v>
      </c>
      <c r="E421" t="s">
        <v>45</v>
      </c>
      <c r="F421" t="s">
        <v>54</v>
      </c>
      <c r="G421" t="str">
        <f>IF(ISBLANK(Table1[[#This Row],[State]]),"Unknown",Table1[[#This Row],[State]])</f>
        <v>Uttar Pradesh</v>
      </c>
      <c r="H421" t="s">
        <v>9</v>
      </c>
      <c r="I421" t="s">
        <v>10</v>
      </c>
      <c r="J421" t="str">
        <f>IF(ISBLANK(Table1[[#This Row],[Product]]),"Unknown",Table1[[#This Row],[Product]])</f>
        <v>Chair</v>
      </c>
      <c r="K421" s="3">
        <v>4</v>
      </c>
      <c r="L421" s="10">
        <v>1299</v>
      </c>
      <c r="M421" t="s">
        <v>11</v>
      </c>
      <c r="N421" t="str">
        <f>IF(ISBLANK(Table1[[#This Row],[Payment method]]),"Unknown",Table1[[#This Row],[Payment method]])</f>
        <v>Cash on Delivery</v>
      </c>
      <c r="O421" t="s">
        <v>5</v>
      </c>
      <c r="P421" t="str">
        <f>IF(Table1[[#This Row],[Unit price]]&gt;2000,"High Price","Standard Price")</f>
        <v>Standard Price</v>
      </c>
    </row>
    <row r="422" spans="1:16" x14ac:dyDescent="0.3">
      <c r="A422" s="3">
        <v>10421</v>
      </c>
      <c r="B422" s="1">
        <v>45789</v>
      </c>
      <c r="C422" s="3" t="s">
        <v>211</v>
      </c>
      <c r="D422" s="3" t="s">
        <v>57</v>
      </c>
      <c r="E422" t="s">
        <v>248</v>
      </c>
      <c r="F422" t="s">
        <v>52</v>
      </c>
      <c r="G422" t="str">
        <f>IF(ISBLANK(Table1[[#This Row],[State]]),"Unknown",Table1[[#This Row],[State]])</f>
        <v>Karnataka</v>
      </c>
      <c r="H422" t="s">
        <v>9</v>
      </c>
      <c r="I422" t="s">
        <v>16</v>
      </c>
      <c r="J422" t="str">
        <f>IF(ISBLANK(Table1[[#This Row],[Product]]),"Unknown",Table1[[#This Row],[Product]])</f>
        <v>Lamp</v>
      </c>
      <c r="K422" s="3">
        <v>2</v>
      </c>
      <c r="L422" s="10">
        <v>1999</v>
      </c>
      <c r="M422" t="s">
        <v>4</v>
      </c>
      <c r="N422" t="str">
        <f>IF(ISBLANK(Table1[[#This Row],[Payment method]]),"Unknown",Table1[[#This Row],[Payment method]])</f>
        <v>Net Banking</v>
      </c>
      <c r="O422" t="s">
        <v>58</v>
      </c>
      <c r="P422" t="str">
        <f>IF(Table1[[#This Row],[Unit price]]&gt;2000,"High Price","Standard Price")</f>
        <v>Standard Price</v>
      </c>
    </row>
    <row r="423" spans="1:16" x14ac:dyDescent="0.3">
      <c r="A423" s="3">
        <v>10422</v>
      </c>
      <c r="B423" s="1">
        <v>45764</v>
      </c>
      <c r="C423" s="3" t="s">
        <v>180</v>
      </c>
      <c r="D423" s="3" t="s">
        <v>7</v>
      </c>
      <c r="E423" t="s">
        <v>8</v>
      </c>
      <c r="F423" t="s">
        <v>52</v>
      </c>
      <c r="G423" t="str">
        <f>IF(ISBLANK(Table1[[#This Row],[State]]),"Unknown",Table1[[#This Row],[State]])</f>
        <v>Karnataka</v>
      </c>
      <c r="H423" t="s">
        <v>9</v>
      </c>
      <c r="I423" t="s">
        <v>16</v>
      </c>
      <c r="J423" t="str">
        <f>IF(ISBLANK(Table1[[#This Row],[Product]]),"Unknown",Table1[[#This Row],[Product]])</f>
        <v>Lamp</v>
      </c>
      <c r="K423" s="3">
        <v>2</v>
      </c>
      <c r="L423" s="10">
        <v>1299</v>
      </c>
      <c r="M423" t="s">
        <v>11</v>
      </c>
      <c r="N423" t="str">
        <f>IF(ISBLANK(Table1[[#This Row],[Payment method]]),"Unknown",Table1[[#This Row],[Payment method]])</f>
        <v>Cash on Delivery</v>
      </c>
      <c r="O423" t="s">
        <v>58</v>
      </c>
      <c r="P423" t="str">
        <f>IF(Table1[[#This Row],[Unit price]]&gt;2000,"High Price","Standard Price")</f>
        <v>Standard Price</v>
      </c>
    </row>
    <row r="424" spans="1:16" x14ac:dyDescent="0.3">
      <c r="A424" s="3">
        <v>10423</v>
      </c>
      <c r="B424" s="1">
        <v>45697</v>
      </c>
      <c r="C424" s="3" t="s">
        <v>0</v>
      </c>
      <c r="D424" s="3" t="s">
        <v>1</v>
      </c>
      <c r="E424" t="s">
        <v>249</v>
      </c>
      <c r="F424" t="s">
        <v>36</v>
      </c>
      <c r="G424" t="str">
        <f>IF(ISBLANK(Table1[[#This Row],[State]]),"Unknown",Table1[[#This Row],[State]])</f>
        <v>Maharastra</v>
      </c>
      <c r="H424" t="s">
        <v>9</v>
      </c>
      <c r="I424" t="s">
        <v>16</v>
      </c>
      <c r="J424" t="str">
        <f>IF(ISBLANK(Table1[[#This Row],[Product]]),"Unknown",Table1[[#This Row],[Product]])</f>
        <v>Lamp</v>
      </c>
      <c r="K424" s="3">
        <v>2</v>
      </c>
      <c r="L424" s="10">
        <v>1999</v>
      </c>
      <c r="M424" t="s">
        <v>11</v>
      </c>
      <c r="N424" t="str">
        <f>IF(ISBLANK(Table1[[#This Row],[Payment method]]),"Unknown",Table1[[#This Row],[Payment method]])</f>
        <v>Cash on Delivery</v>
      </c>
      <c r="O424" t="s">
        <v>12</v>
      </c>
      <c r="P424" t="str">
        <f>IF(Table1[[#This Row],[Unit price]]&gt;2000,"High Price","Standard Price")</f>
        <v>Standard Price</v>
      </c>
    </row>
    <row r="425" spans="1:16" x14ac:dyDescent="0.3">
      <c r="A425" s="3">
        <v>10424</v>
      </c>
      <c r="B425" s="1">
        <v>45761</v>
      </c>
      <c r="C425" s="3" t="s">
        <v>184</v>
      </c>
      <c r="D425" s="3" t="s">
        <v>43</v>
      </c>
      <c r="E425" t="s">
        <v>35</v>
      </c>
      <c r="F425" t="s">
        <v>15</v>
      </c>
      <c r="G425" t="str">
        <f>IF(ISBLANK(Table1[[#This Row],[State]]),"Unknown",Table1[[#This Row],[State]])</f>
        <v>Maharashtra</v>
      </c>
      <c r="H425" t="s">
        <v>9</v>
      </c>
      <c r="I425" t="s">
        <v>16</v>
      </c>
      <c r="J425" t="str">
        <f>IF(ISBLANK(Table1[[#This Row],[Product]]),"Unknown",Table1[[#This Row],[Product]])</f>
        <v>Lamp</v>
      </c>
      <c r="K425" s="3">
        <v>3</v>
      </c>
      <c r="L425" s="10">
        <v>499</v>
      </c>
      <c r="M425" t="s">
        <v>11</v>
      </c>
      <c r="N425" t="str">
        <f>IF(ISBLANK(Table1[[#This Row],[Payment method]]),"Unknown",Table1[[#This Row],[Payment method]])</f>
        <v>Cash on Delivery</v>
      </c>
      <c r="O425" t="s">
        <v>12</v>
      </c>
      <c r="P425" t="str">
        <f>IF(Table1[[#This Row],[Unit price]]&gt;2000,"High Price","Standard Price")</f>
        <v>Standard Price</v>
      </c>
    </row>
    <row r="426" spans="1:16" x14ac:dyDescent="0.3">
      <c r="A426" s="3">
        <v>10425</v>
      </c>
      <c r="B426" s="1">
        <v>45739</v>
      </c>
      <c r="C426" s="3" t="s">
        <v>22</v>
      </c>
      <c r="D426" s="3" t="s">
        <v>43</v>
      </c>
      <c r="E426" t="s">
        <v>45</v>
      </c>
      <c r="F426" t="s">
        <v>54</v>
      </c>
      <c r="G426" t="str">
        <f>IF(ISBLANK(Table1[[#This Row],[State]]),"Unknown",Table1[[#This Row],[State]])</f>
        <v>Uttar Pradesh</v>
      </c>
      <c r="H426" t="s">
        <v>33</v>
      </c>
      <c r="I426" t="s">
        <v>21</v>
      </c>
      <c r="J426" t="str">
        <f>IF(ISBLANK(Table1[[#This Row],[Product]]),"Unknown",Table1[[#This Row],[Product]])</f>
        <v>Headphones</v>
      </c>
      <c r="K426" s="3">
        <v>2</v>
      </c>
      <c r="L426" s="10">
        <v>299</v>
      </c>
      <c r="N426" t="str">
        <f>IF(ISBLANK(Table1[[#This Row],[Payment method]]),"Unknown",Table1[[#This Row],[Payment method]])</f>
        <v>Unknown</v>
      </c>
      <c r="O426" t="s">
        <v>17</v>
      </c>
      <c r="P426" t="str">
        <f>IF(Table1[[#This Row],[Unit price]]&gt;2000,"High Price","Standard Price")</f>
        <v>Standard Price</v>
      </c>
    </row>
    <row r="427" spans="1:16" x14ac:dyDescent="0.3">
      <c r="A427" s="3">
        <v>10426</v>
      </c>
      <c r="B427" s="1">
        <v>45713</v>
      </c>
      <c r="C427" s="3" t="s">
        <v>170</v>
      </c>
      <c r="D427" s="3" t="s">
        <v>14</v>
      </c>
      <c r="E427" t="s">
        <v>20</v>
      </c>
      <c r="F427" t="s">
        <v>20</v>
      </c>
      <c r="G427" t="str">
        <f>IF(ISBLANK(Table1[[#This Row],[State]]),"Unknown",Table1[[#This Row],[State]])</f>
        <v>Delhi</v>
      </c>
      <c r="H427" t="s">
        <v>2</v>
      </c>
      <c r="I427" t="s">
        <v>3</v>
      </c>
      <c r="J427" t="str">
        <f>IF(ISBLANK(Table1[[#This Row],[Product]]),"Unknown",Table1[[#This Row],[Product]])</f>
        <v>T-Shirt</v>
      </c>
      <c r="K427" s="3">
        <v>3</v>
      </c>
      <c r="L427" s="10">
        <v>1299</v>
      </c>
      <c r="M427" t="s">
        <v>11</v>
      </c>
      <c r="N427" t="str">
        <f>IF(ISBLANK(Table1[[#This Row],[Payment method]]),"Unknown",Table1[[#This Row],[Payment method]])</f>
        <v>Cash on Delivery</v>
      </c>
      <c r="O427" t="s">
        <v>58</v>
      </c>
      <c r="P427" t="str">
        <f>IF(Table1[[#This Row],[Unit price]]&gt;2000,"High Price","Standard Price")</f>
        <v>Standard Price</v>
      </c>
    </row>
    <row r="428" spans="1:16" x14ac:dyDescent="0.3">
      <c r="A428" s="3">
        <v>10427</v>
      </c>
      <c r="B428" s="1">
        <v>45672</v>
      </c>
      <c r="C428" s="3" t="s">
        <v>62</v>
      </c>
      <c r="D428" s="3" t="s">
        <v>7</v>
      </c>
      <c r="E428" t="s">
        <v>45</v>
      </c>
      <c r="F428" t="s">
        <v>54</v>
      </c>
      <c r="G428" t="str">
        <f>IF(ISBLANK(Table1[[#This Row],[State]]),"Unknown",Table1[[#This Row],[State]])</f>
        <v>Uttar Pradesh</v>
      </c>
      <c r="H428" t="s">
        <v>9</v>
      </c>
      <c r="I428" t="s">
        <v>10</v>
      </c>
      <c r="J428" t="str">
        <f>IF(ISBLANK(Table1[[#This Row],[Product]]),"Unknown",Table1[[#This Row],[Product]])</f>
        <v>Chair</v>
      </c>
      <c r="K428" s="3">
        <v>2</v>
      </c>
      <c r="L428" s="10">
        <v>299</v>
      </c>
      <c r="M428" t="s">
        <v>26</v>
      </c>
      <c r="N428" t="str">
        <f>IF(ISBLANK(Table1[[#This Row],[Payment method]]),"Unknown",Table1[[#This Row],[Payment method]])</f>
        <v>Card</v>
      </c>
      <c r="O428" t="s">
        <v>58</v>
      </c>
      <c r="P428" t="str">
        <f>IF(Table1[[#This Row],[Unit price]]&gt;2000,"High Price","Standard Price")</f>
        <v>Standard Price</v>
      </c>
    </row>
    <row r="429" spans="1:16" x14ac:dyDescent="0.3">
      <c r="A429" s="3">
        <v>10428</v>
      </c>
      <c r="B429" s="1">
        <v>45719</v>
      </c>
      <c r="C429" s="3" t="s">
        <v>149</v>
      </c>
      <c r="D429" s="3" t="s">
        <v>39</v>
      </c>
      <c r="E429" t="s">
        <v>35</v>
      </c>
      <c r="F429" t="s">
        <v>15</v>
      </c>
      <c r="G429" t="str">
        <f>IF(ISBLANK(Table1[[#This Row],[State]]),"Unknown",Table1[[#This Row],[State]])</f>
        <v>Maharashtra</v>
      </c>
      <c r="H429" t="s">
        <v>2</v>
      </c>
      <c r="I429" t="s">
        <v>3</v>
      </c>
      <c r="J429" t="str">
        <f>IF(ISBLANK(Table1[[#This Row],[Product]]),"Unknown",Table1[[#This Row],[Product]])</f>
        <v>T-Shirt</v>
      </c>
      <c r="K429" s="3">
        <v>2</v>
      </c>
      <c r="L429" s="10">
        <v>799</v>
      </c>
      <c r="N429" t="str">
        <f>IF(ISBLANK(Table1[[#This Row],[Payment method]]),"Unknown",Table1[[#This Row],[Payment method]])</f>
        <v>Unknown</v>
      </c>
      <c r="O429" t="s">
        <v>17</v>
      </c>
      <c r="P429" t="str">
        <f>IF(Table1[[#This Row],[Unit price]]&gt;2000,"High Price","Standard Price")</f>
        <v>Standard Price</v>
      </c>
    </row>
    <row r="430" spans="1:16" x14ac:dyDescent="0.3">
      <c r="A430" s="3">
        <v>10429</v>
      </c>
      <c r="B430" s="1">
        <v>45684</v>
      </c>
      <c r="C430" s="3" t="s">
        <v>200</v>
      </c>
      <c r="D430" s="3" t="s">
        <v>1</v>
      </c>
      <c r="E430" t="s">
        <v>20</v>
      </c>
      <c r="F430" t="s">
        <v>20</v>
      </c>
      <c r="G430" t="str">
        <f>IF(ISBLANK(Table1[[#This Row],[State]]),"Unknown",Table1[[#This Row],[State]])</f>
        <v>Delhi</v>
      </c>
      <c r="H430" t="s">
        <v>33</v>
      </c>
      <c r="I430" t="s">
        <v>49</v>
      </c>
      <c r="J430" t="str">
        <f>IF(ISBLANK(Table1[[#This Row],[Product]]),"Unknown",Table1[[#This Row],[Product]])</f>
        <v>Keyboard</v>
      </c>
      <c r="K430" s="3">
        <v>2</v>
      </c>
      <c r="L430" s="10">
        <v>1299</v>
      </c>
      <c r="M430" t="s">
        <v>4</v>
      </c>
      <c r="N430" t="str">
        <f>IF(ISBLANK(Table1[[#This Row],[Payment method]]),"Unknown",Table1[[#This Row],[Payment method]])</f>
        <v>Net Banking</v>
      </c>
      <c r="O430" t="s">
        <v>58</v>
      </c>
      <c r="P430" t="str">
        <f>IF(Table1[[#This Row],[Unit price]]&gt;2000,"High Price","Standard Price")</f>
        <v>Standard Price</v>
      </c>
    </row>
    <row r="431" spans="1:16" x14ac:dyDescent="0.3">
      <c r="A431" s="3">
        <v>10430</v>
      </c>
      <c r="B431" s="1">
        <v>45833</v>
      </c>
      <c r="C431" s="3" t="s">
        <v>212</v>
      </c>
      <c r="D431" s="3" t="s">
        <v>19</v>
      </c>
      <c r="E431" t="s">
        <v>247</v>
      </c>
      <c r="F431" t="s">
        <v>15</v>
      </c>
      <c r="G431" t="str">
        <f>IF(ISBLANK(Table1[[#This Row],[State]]),"Unknown",Table1[[#This Row],[State]])</f>
        <v>Maharashtra</v>
      </c>
      <c r="H431" t="s">
        <v>9</v>
      </c>
      <c r="I431" t="s">
        <v>16</v>
      </c>
      <c r="J431" t="str">
        <f>IF(ISBLANK(Table1[[#This Row],[Product]]),"Unknown",Table1[[#This Row],[Product]])</f>
        <v>Lamp</v>
      </c>
      <c r="K431" s="3">
        <v>2</v>
      </c>
      <c r="L431" s="10">
        <v>499</v>
      </c>
      <c r="M431" t="s">
        <v>11</v>
      </c>
      <c r="N431" t="str">
        <f>IF(ISBLANK(Table1[[#This Row],[Payment method]]),"Unknown",Table1[[#This Row],[Payment method]])</f>
        <v>Cash on Delivery</v>
      </c>
      <c r="O431" t="s">
        <v>12</v>
      </c>
      <c r="P431" t="str">
        <f>IF(Table1[[#This Row],[Unit price]]&gt;2000,"High Price","Standard Price")</f>
        <v>Standard Price</v>
      </c>
    </row>
    <row r="432" spans="1:16" x14ac:dyDescent="0.3">
      <c r="A432" s="3">
        <v>10431</v>
      </c>
      <c r="B432" s="1">
        <v>45823</v>
      </c>
      <c r="C432" s="3" t="s">
        <v>177</v>
      </c>
      <c r="D432" s="3" t="s">
        <v>14</v>
      </c>
      <c r="E432" t="s">
        <v>32</v>
      </c>
      <c r="F432" t="s">
        <v>15</v>
      </c>
      <c r="G432" t="str">
        <f>IF(ISBLANK(Table1[[#This Row],[State]]),"Unknown",Table1[[#This Row],[State]])</f>
        <v>Maharashtra</v>
      </c>
      <c r="H432" t="s">
        <v>33</v>
      </c>
      <c r="I432" t="s">
        <v>49</v>
      </c>
      <c r="J432" t="str">
        <f>IF(ISBLANK(Table1[[#This Row],[Product]]),"Unknown",Table1[[#This Row],[Product]])</f>
        <v>Keyboard</v>
      </c>
      <c r="K432" s="3">
        <v>5</v>
      </c>
      <c r="L432" s="10">
        <v>499</v>
      </c>
      <c r="M432" t="s">
        <v>11</v>
      </c>
      <c r="N432" t="str">
        <f>IF(ISBLANK(Table1[[#This Row],[Payment method]]),"Unknown",Table1[[#This Row],[Payment method]])</f>
        <v>Cash on Delivery</v>
      </c>
      <c r="O432" t="s">
        <v>5</v>
      </c>
      <c r="P432" t="str">
        <f>IF(Table1[[#This Row],[Unit price]]&gt;2000,"High Price","Standard Price")</f>
        <v>Standard Price</v>
      </c>
    </row>
    <row r="433" spans="1:16" x14ac:dyDescent="0.3">
      <c r="A433" s="3">
        <v>10432</v>
      </c>
      <c r="B433" s="1">
        <v>45799</v>
      </c>
      <c r="C433" s="3" t="s">
        <v>151</v>
      </c>
      <c r="D433" s="3" t="s">
        <v>14</v>
      </c>
      <c r="E433" t="s">
        <v>8</v>
      </c>
      <c r="F433" t="s">
        <v>52</v>
      </c>
      <c r="G433" t="str">
        <f>IF(ISBLANK(Table1[[#This Row],[State]]),"Unknown",Table1[[#This Row],[State]])</f>
        <v>Karnataka</v>
      </c>
      <c r="H433" t="s">
        <v>2</v>
      </c>
      <c r="I433" t="s">
        <v>3</v>
      </c>
      <c r="J433" t="str">
        <f>IF(ISBLANK(Table1[[#This Row],[Product]]),"Unknown",Table1[[#This Row],[Product]])</f>
        <v>T-Shirt</v>
      </c>
      <c r="K433" s="3">
        <v>5</v>
      </c>
      <c r="L433" s="10">
        <v>1299</v>
      </c>
      <c r="M433" t="s">
        <v>26</v>
      </c>
      <c r="N433" t="str">
        <f>IF(ISBLANK(Table1[[#This Row],[Payment method]]),"Unknown",Table1[[#This Row],[Payment method]])</f>
        <v>Card</v>
      </c>
      <c r="O433" t="s">
        <v>58</v>
      </c>
      <c r="P433" t="str">
        <f>IF(Table1[[#This Row],[Unit price]]&gt;2000,"High Price","Standard Price")</f>
        <v>Standard Price</v>
      </c>
    </row>
    <row r="434" spans="1:16" x14ac:dyDescent="0.3">
      <c r="A434" s="3">
        <v>10433</v>
      </c>
      <c r="B434" s="1">
        <v>45967</v>
      </c>
      <c r="C434" s="3" t="s">
        <v>30</v>
      </c>
      <c r="D434" s="3" t="s">
        <v>19</v>
      </c>
      <c r="E434" t="s">
        <v>248</v>
      </c>
      <c r="F434" t="s">
        <v>52</v>
      </c>
      <c r="G434" t="str">
        <f>IF(ISBLANK(Table1[[#This Row],[State]]),"Unknown",Table1[[#This Row],[State]])</f>
        <v>Karnataka</v>
      </c>
      <c r="H434" t="s">
        <v>2</v>
      </c>
      <c r="I434" t="s">
        <v>3</v>
      </c>
      <c r="J434" t="str">
        <f>IF(ISBLANK(Table1[[#This Row],[Product]]),"Unknown",Table1[[#This Row],[Product]])</f>
        <v>T-Shirt</v>
      </c>
      <c r="K434" s="3">
        <v>2</v>
      </c>
      <c r="L434" s="10">
        <v>1999</v>
      </c>
      <c r="N434" t="str">
        <f>IF(ISBLANK(Table1[[#This Row],[Payment method]]),"Unknown",Table1[[#This Row],[Payment method]])</f>
        <v>Unknown</v>
      </c>
      <c r="O434" t="s">
        <v>5</v>
      </c>
      <c r="P434" t="str">
        <f>IF(Table1[[#This Row],[Unit price]]&gt;2000,"High Price","Standard Price")</f>
        <v>Standard Price</v>
      </c>
    </row>
    <row r="435" spans="1:16" x14ac:dyDescent="0.3">
      <c r="A435" s="3">
        <v>10434</v>
      </c>
      <c r="B435" s="1">
        <v>45785</v>
      </c>
      <c r="C435" s="3" t="s">
        <v>79</v>
      </c>
      <c r="D435" s="3" t="s">
        <v>23</v>
      </c>
      <c r="E435" t="s">
        <v>35</v>
      </c>
      <c r="F435" t="s">
        <v>36</v>
      </c>
      <c r="G435" t="str">
        <f>IF(ISBLANK(Table1[[#This Row],[State]]),"Unknown",Table1[[#This Row],[State]])</f>
        <v>Maharastra</v>
      </c>
      <c r="H435" t="s">
        <v>9</v>
      </c>
      <c r="I435" t="s">
        <v>10</v>
      </c>
      <c r="J435" t="str">
        <f>IF(ISBLANK(Table1[[#This Row],[Product]]),"Unknown",Table1[[#This Row],[Product]])</f>
        <v>Chair</v>
      </c>
      <c r="K435" s="3">
        <v>4</v>
      </c>
      <c r="L435" s="10">
        <v>799</v>
      </c>
      <c r="M435" t="s">
        <v>11</v>
      </c>
      <c r="N435" t="str">
        <f>IF(ISBLANK(Table1[[#This Row],[Payment method]]),"Unknown",Table1[[#This Row],[Payment method]])</f>
        <v>Cash on Delivery</v>
      </c>
      <c r="O435" t="s">
        <v>58</v>
      </c>
      <c r="P435" t="str">
        <f>IF(Table1[[#This Row],[Unit price]]&gt;2000,"High Price","Standard Price")</f>
        <v>Standard Price</v>
      </c>
    </row>
    <row r="436" spans="1:16" x14ac:dyDescent="0.3">
      <c r="A436" s="3">
        <v>10435</v>
      </c>
      <c r="B436" s="1">
        <v>45696</v>
      </c>
      <c r="C436" s="3" t="s">
        <v>197</v>
      </c>
      <c r="D436" s="3" t="s">
        <v>23</v>
      </c>
      <c r="E436" t="s">
        <v>32</v>
      </c>
      <c r="F436" t="s">
        <v>36</v>
      </c>
      <c r="G436" t="str">
        <f>IF(ISBLANK(Table1[[#This Row],[State]]),"Unknown",Table1[[#This Row],[State]])</f>
        <v>Maharastra</v>
      </c>
      <c r="H436" t="s">
        <v>2</v>
      </c>
      <c r="I436" t="s">
        <v>24</v>
      </c>
      <c r="J436" t="str">
        <f>IF(ISBLANK(Table1[[#This Row],[Product]]),"Unknown",Table1[[#This Row],[Product]])</f>
        <v>Jeans</v>
      </c>
      <c r="K436" s="3">
        <v>1</v>
      </c>
      <c r="L436" s="10">
        <v>799</v>
      </c>
      <c r="M436" t="s">
        <v>11</v>
      </c>
      <c r="N436" t="str">
        <f>IF(ISBLANK(Table1[[#This Row],[Payment method]]),"Unknown",Table1[[#This Row],[Payment method]])</f>
        <v>Cash on Delivery</v>
      </c>
      <c r="O436" t="s">
        <v>12</v>
      </c>
      <c r="P436" t="str">
        <f>IF(Table1[[#This Row],[Unit price]]&gt;2000,"High Price","Standard Price")</f>
        <v>Standard Price</v>
      </c>
    </row>
    <row r="437" spans="1:16" x14ac:dyDescent="0.3">
      <c r="A437" s="3">
        <v>10436</v>
      </c>
      <c r="B437" s="1">
        <v>45825</v>
      </c>
      <c r="C437" s="3" t="s">
        <v>95</v>
      </c>
      <c r="D437" s="3" t="s">
        <v>43</v>
      </c>
      <c r="E437" t="s">
        <v>20</v>
      </c>
      <c r="F437" t="s">
        <v>20</v>
      </c>
      <c r="G437" t="str">
        <f>IF(ISBLANK(Table1[[#This Row],[State]]),"Unknown",Table1[[#This Row],[State]])</f>
        <v>Delhi</v>
      </c>
      <c r="H437" t="s">
        <v>33</v>
      </c>
      <c r="I437" t="s">
        <v>49</v>
      </c>
      <c r="J437" t="str">
        <f>IF(ISBLANK(Table1[[#This Row],[Product]]),"Unknown",Table1[[#This Row],[Product]])</f>
        <v>Keyboard</v>
      </c>
      <c r="K437" s="3">
        <v>1</v>
      </c>
      <c r="L437" s="10">
        <v>1299</v>
      </c>
      <c r="N437" t="str">
        <f>IF(ISBLANK(Table1[[#This Row],[Payment method]]),"Unknown",Table1[[#This Row],[Payment method]])</f>
        <v>Unknown</v>
      </c>
      <c r="O437" t="s">
        <v>17</v>
      </c>
      <c r="P437" t="str">
        <f>IF(Table1[[#This Row],[Unit price]]&gt;2000,"High Price","Standard Price")</f>
        <v>Standard Price</v>
      </c>
    </row>
    <row r="438" spans="1:16" x14ac:dyDescent="0.3">
      <c r="A438" s="3">
        <v>10437</v>
      </c>
      <c r="B438" s="1">
        <v>45684</v>
      </c>
      <c r="C438" s="3" t="s">
        <v>130</v>
      </c>
      <c r="D438" s="3" t="s">
        <v>7</v>
      </c>
      <c r="E438" t="s">
        <v>20</v>
      </c>
      <c r="F438" t="s">
        <v>20</v>
      </c>
      <c r="G438" t="str">
        <f>IF(ISBLANK(Table1[[#This Row],[State]]),"Unknown",Table1[[#This Row],[State]])</f>
        <v>Delhi</v>
      </c>
      <c r="H438" t="s">
        <v>2</v>
      </c>
      <c r="I438" t="s">
        <v>3</v>
      </c>
      <c r="J438" t="str">
        <f>IF(ISBLANK(Table1[[#This Row],[Product]]),"Unknown",Table1[[#This Row],[Product]])</f>
        <v>T-Shirt</v>
      </c>
      <c r="K438" s="3">
        <v>4</v>
      </c>
      <c r="L438" s="10">
        <v>799</v>
      </c>
      <c r="N438" t="str">
        <f>IF(ISBLANK(Table1[[#This Row],[Payment method]]),"Unknown",Table1[[#This Row],[Payment method]])</f>
        <v>Unknown</v>
      </c>
      <c r="O438" t="s">
        <v>12</v>
      </c>
      <c r="P438" t="str">
        <f>IF(Table1[[#This Row],[Unit price]]&gt;2000,"High Price","Standard Price")</f>
        <v>Standard Price</v>
      </c>
    </row>
    <row r="439" spans="1:16" x14ac:dyDescent="0.3">
      <c r="A439" s="3">
        <v>10438</v>
      </c>
      <c r="B439" s="1">
        <v>45720</v>
      </c>
      <c r="C439" s="3" t="s">
        <v>85</v>
      </c>
      <c r="D439" s="3" t="s">
        <v>43</v>
      </c>
      <c r="E439" t="s">
        <v>20</v>
      </c>
      <c r="F439" t="s">
        <v>20</v>
      </c>
      <c r="G439" t="str">
        <f>IF(ISBLANK(Table1[[#This Row],[State]]),"Unknown",Table1[[#This Row],[State]])</f>
        <v>Delhi</v>
      </c>
      <c r="H439" t="s">
        <v>33</v>
      </c>
      <c r="I439" t="s">
        <v>49</v>
      </c>
      <c r="J439" t="str">
        <f>IF(ISBLANK(Table1[[#This Row],[Product]]),"Unknown",Table1[[#This Row],[Product]])</f>
        <v>Keyboard</v>
      </c>
      <c r="K439" s="3">
        <v>4</v>
      </c>
      <c r="L439" s="10">
        <v>1299</v>
      </c>
      <c r="M439" t="s">
        <v>11</v>
      </c>
      <c r="N439" t="str">
        <f>IF(ISBLANK(Table1[[#This Row],[Payment method]]),"Unknown",Table1[[#This Row],[Payment method]])</f>
        <v>Cash on Delivery</v>
      </c>
      <c r="O439" t="s">
        <v>17</v>
      </c>
      <c r="P439" t="str">
        <f>IF(Table1[[#This Row],[Unit price]]&gt;2000,"High Price","Standard Price")</f>
        <v>Standard Price</v>
      </c>
    </row>
    <row r="440" spans="1:16" x14ac:dyDescent="0.3">
      <c r="A440" s="3">
        <v>10439</v>
      </c>
      <c r="B440" s="1">
        <v>45702</v>
      </c>
      <c r="C440" s="3" t="s">
        <v>213</v>
      </c>
      <c r="D440" s="3" t="s">
        <v>43</v>
      </c>
      <c r="E440" t="s">
        <v>249</v>
      </c>
      <c r="F440" t="s">
        <v>15</v>
      </c>
      <c r="G440" t="str">
        <f>IF(ISBLANK(Table1[[#This Row],[State]]),"Unknown",Table1[[#This Row],[State]])</f>
        <v>Maharashtra</v>
      </c>
      <c r="H440" t="s">
        <v>9</v>
      </c>
      <c r="I440" t="s">
        <v>10</v>
      </c>
      <c r="J440" t="str">
        <f>IF(ISBLANK(Table1[[#This Row],[Product]]),"Unknown",Table1[[#This Row],[Product]])</f>
        <v>Chair</v>
      </c>
      <c r="K440" s="3">
        <v>4</v>
      </c>
      <c r="L440" s="10">
        <v>499</v>
      </c>
      <c r="M440" t="s">
        <v>11</v>
      </c>
      <c r="N440" t="str">
        <f>IF(ISBLANK(Table1[[#This Row],[Payment method]]),"Unknown",Table1[[#This Row],[Payment method]])</f>
        <v>Cash on Delivery</v>
      </c>
      <c r="O440" t="s">
        <v>12</v>
      </c>
      <c r="P440" t="str">
        <f>IF(Table1[[#This Row],[Unit price]]&gt;2000,"High Price","Standard Price")</f>
        <v>Standard Price</v>
      </c>
    </row>
    <row r="441" spans="1:16" x14ac:dyDescent="0.3">
      <c r="A441" s="3">
        <v>10440</v>
      </c>
      <c r="B441" s="1">
        <v>45767</v>
      </c>
      <c r="C441" s="3" t="s">
        <v>132</v>
      </c>
      <c r="D441" s="3" t="s">
        <v>1</v>
      </c>
      <c r="E441" t="s">
        <v>8</v>
      </c>
      <c r="F441" t="s">
        <v>52</v>
      </c>
      <c r="G441" t="str">
        <f>IF(ISBLANK(Table1[[#This Row],[State]]),"Unknown",Table1[[#This Row],[State]])</f>
        <v>Karnataka</v>
      </c>
      <c r="H441" t="s">
        <v>9</v>
      </c>
      <c r="I441" t="s">
        <v>10</v>
      </c>
      <c r="J441" t="str">
        <f>IF(ISBLANK(Table1[[#This Row],[Product]]),"Unknown",Table1[[#This Row],[Product]])</f>
        <v>Chair</v>
      </c>
      <c r="K441" s="3">
        <v>4</v>
      </c>
      <c r="L441" s="10">
        <v>499</v>
      </c>
      <c r="M441" t="s">
        <v>11</v>
      </c>
      <c r="N441" t="str">
        <f>IF(ISBLANK(Table1[[#This Row],[Payment method]]),"Unknown",Table1[[#This Row],[Payment method]])</f>
        <v>Cash on Delivery</v>
      </c>
      <c r="O441" t="s">
        <v>17</v>
      </c>
      <c r="P441" t="str">
        <f>IF(Table1[[#This Row],[Unit price]]&gt;2000,"High Price","Standard Price")</f>
        <v>Standard Price</v>
      </c>
    </row>
    <row r="442" spans="1:16" x14ac:dyDescent="0.3">
      <c r="A442" s="3">
        <v>10441</v>
      </c>
      <c r="B442" s="1">
        <v>45684</v>
      </c>
      <c r="C442" s="3" t="s">
        <v>123</v>
      </c>
      <c r="D442" s="3" t="s">
        <v>57</v>
      </c>
      <c r="E442" t="s">
        <v>20</v>
      </c>
      <c r="F442" t="s">
        <v>20</v>
      </c>
      <c r="G442" t="str">
        <f>IF(ISBLANK(Table1[[#This Row],[State]]),"Unknown",Table1[[#This Row],[State]])</f>
        <v>Delhi</v>
      </c>
      <c r="H442" t="s">
        <v>9</v>
      </c>
      <c r="I442" t="s">
        <v>10</v>
      </c>
      <c r="J442" t="str">
        <f>IF(ISBLANK(Table1[[#This Row],[Product]]),"Unknown",Table1[[#This Row],[Product]])</f>
        <v>Chair</v>
      </c>
      <c r="K442" s="3">
        <v>999</v>
      </c>
      <c r="L442" s="10">
        <v>799</v>
      </c>
      <c r="N442" t="str">
        <f>IF(ISBLANK(Table1[[#This Row],[Payment method]]),"Unknown",Table1[[#This Row],[Payment method]])</f>
        <v>Unknown</v>
      </c>
      <c r="O442" t="s">
        <v>5</v>
      </c>
      <c r="P442" t="str">
        <f>IF(Table1[[#This Row],[Unit price]]&gt;2000,"High Price","Standard Price")</f>
        <v>Standard Price</v>
      </c>
    </row>
    <row r="443" spans="1:16" x14ac:dyDescent="0.3">
      <c r="A443" s="3">
        <v>10442</v>
      </c>
      <c r="B443" s="1">
        <v>45682</v>
      </c>
      <c r="C443" s="3" t="s">
        <v>178</v>
      </c>
      <c r="D443" s="3" t="s">
        <v>39</v>
      </c>
      <c r="E443" t="s">
        <v>35</v>
      </c>
      <c r="F443" t="s">
        <v>15</v>
      </c>
      <c r="G443" t="str">
        <f>IF(ISBLANK(Table1[[#This Row],[State]]),"Unknown",Table1[[#This Row],[State]])</f>
        <v>Maharashtra</v>
      </c>
      <c r="H443" t="s">
        <v>2</v>
      </c>
      <c r="I443" t="s">
        <v>3</v>
      </c>
      <c r="J443" t="str">
        <f>IF(ISBLANK(Table1[[#This Row],[Product]]),"Unknown",Table1[[#This Row],[Product]])</f>
        <v>T-Shirt</v>
      </c>
      <c r="K443" s="3">
        <v>4</v>
      </c>
      <c r="L443" s="10">
        <v>1999</v>
      </c>
      <c r="M443" t="s">
        <v>4</v>
      </c>
      <c r="N443" t="str">
        <f>IF(ISBLANK(Table1[[#This Row],[Payment method]]),"Unknown",Table1[[#This Row],[Payment method]])</f>
        <v>Net Banking</v>
      </c>
      <c r="O443" t="s">
        <v>17</v>
      </c>
      <c r="P443" t="str">
        <f>IF(Table1[[#This Row],[Unit price]]&gt;2000,"High Price","Standard Price")</f>
        <v>Standard Price</v>
      </c>
    </row>
    <row r="444" spans="1:16" x14ac:dyDescent="0.3">
      <c r="A444" s="3">
        <v>10443</v>
      </c>
      <c r="B444" s="1">
        <v>45720</v>
      </c>
      <c r="C444" s="3" t="s">
        <v>144</v>
      </c>
      <c r="D444" s="3" t="s">
        <v>1</v>
      </c>
      <c r="E444" t="s">
        <v>45</v>
      </c>
      <c r="F444" t="s">
        <v>54</v>
      </c>
      <c r="G444" t="str">
        <f>IF(ISBLANK(Table1[[#This Row],[State]]),"Unknown",Table1[[#This Row],[State]])</f>
        <v>Uttar Pradesh</v>
      </c>
      <c r="H444" t="s">
        <v>33</v>
      </c>
      <c r="I444" t="s">
        <v>49</v>
      </c>
      <c r="J444" t="str">
        <f>IF(ISBLANK(Table1[[#This Row],[Product]]),"Unknown",Table1[[#This Row],[Product]])</f>
        <v>Keyboard</v>
      </c>
      <c r="K444" s="3">
        <v>4</v>
      </c>
      <c r="L444" s="10">
        <v>299</v>
      </c>
      <c r="M444" t="s">
        <v>11</v>
      </c>
      <c r="N444" t="str">
        <f>IF(ISBLANK(Table1[[#This Row],[Payment method]]),"Unknown",Table1[[#This Row],[Payment method]])</f>
        <v>Cash on Delivery</v>
      </c>
      <c r="O444" t="s">
        <v>58</v>
      </c>
      <c r="P444" t="str">
        <f>IF(Table1[[#This Row],[Unit price]]&gt;2000,"High Price","Standard Price")</f>
        <v>Standard Price</v>
      </c>
    </row>
    <row r="445" spans="1:16" x14ac:dyDescent="0.3">
      <c r="A445" s="3">
        <v>10444</v>
      </c>
      <c r="B445" s="1">
        <v>45758</v>
      </c>
      <c r="C445" s="3" t="s">
        <v>70</v>
      </c>
      <c r="D445" s="3" t="s">
        <v>43</v>
      </c>
      <c r="E445" t="s">
        <v>20</v>
      </c>
      <c r="F445" t="s">
        <v>20</v>
      </c>
      <c r="G445" t="str">
        <f>IF(ISBLANK(Table1[[#This Row],[State]]),"Unknown",Table1[[#This Row],[State]])</f>
        <v>Delhi</v>
      </c>
      <c r="H445" t="s">
        <v>9</v>
      </c>
      <c r="I445" t="s">
        <v>10</v>
      </c>
      <c r="J445" t="str">
        <f>IF(ISBLANK(Table1[[#This Row],[Product]]),"Unknown",Table1[[#This Row],[Product]])</f>
        <v>Chair</v>
      </c>
      <c r="K445" s="3">
        <v>5</v>
      </c>
      <c r="L445" s="10">
        <v>499</v>
      </c>
      <c r="M445" t="s">
        <v>26</v>
      </c>
      <c r="N445" t="str">
        <f>IF(ISBLANK(Table1[[#This Row],[Payment method]]),"Unknown",Table1[[#This Row],[Payment method]])</f>
        <v>Card</v>
      </c>
      <c r="O445" t="s">
        <v>5</v>
      </c>
      <c r="P445" t="str">
        <f>IF(Table1[[#This Row],[Unit price]]&gt;2000,"High Price","Standard Price")</f>
        <v>Standard Price</v>
      </c>
    </row>
    <row r="446" spans="1:16" x14ac:dyDescent="0.3">
      <c r="A446" s="3">
        <v>10445</v>
      </c>
      <c r="B446" s="1">
        <v>45753</v>
      </c>
      <c r="C446" s="3" t="s">
        <v>214</v>
      </c>
      <c r="D446" s="3" t="s">
        <v>1</v>
      </c>
      <c r="E446" t="s">
        <v>248</v>
      </c>
      <c r="F446" t="s">
        <v>52</v>
      </c>
      <c r="G446" t="str">
        <f>IF(ISBLANK(Table1[[#This Row],[State]]),"Unknown",Table1[[#This Row],[State]])</f>
        <v>Karnataka</v>
      </c>
      <c r="H446" t="s">
        <v>9</v>
      </c>
      <c r="I446" t="s">
        <v>10</v>
      </c>
      <c r="J446" t="str">
        <f>IF(ISBLANK(Table1[[#This Row],[Product]]),"Unknown",Table1[[#This Row],[Product]])</f>
        <v>Chair</v>
      </c>
      <c r="K446" s="3">
        <v>1</v>
      </c>
      <c r="L446" s="10">
        <v>1999</v>
      </c>
      <c r="N446" t="str">
        <f>IF(ISBLANK(Table1[[#This Row],[Payment method]]),"Unknown",Table1[[#This Row],[Payment method]])</f>
        <v>Unknown</v>
      </c>
      <c r="O446" t="s">
        <v>12</v>
      </c>
      <c r="P446" t="str">
        <f>IF(Table1[[#This Row],[Unit price]]&gt;2000,"High Price","Standard Price")</f>
        <v>Standard Price</v>
      </c>
    </row>
    <row r="447" spans="1:16" x14ac:dyDescent="0.3">
      <c r="A447" s="3">
        <v>10446</v>
      </c>
      <c r="B447" s="1">
        <v>45711</v>
      </c>
      <c r="C447" s="3" t="s">
        <v>101</v>
      </c>
      <c r="D447" s="3" t="s">
        <v>1</v>
      </c>
      <c r="E447" t="s">
        <v>20</v>
      </c>
      <c r="F447" t="s">
        <v>20</v>
      </c>
      <c r="G447" t="str">
        <f>IF(ISBLANK(Table1[[#This Row],[State]]),"Unknown",Table1[[#This Row],[State]])</f>
        <v>Delhi</v>
      </c>
      <c r="H447" t="s">
        <v>9</v>
      </c>
      <c r="I447" t="s">
        <v>16</v>
      </c>
      <c r="J447" t="str">
        <f>IF(ISBLANK(Table1[[#This Row],[Product]]),"Unknown",Table1[[#This Row],[Product]])</f>
        <v>Lamp</v>
      </c>
      <c r="K447" s="3">
        <v>2</v>
      </c>
      <c r="L447" s="10">
        <v>799</v>
      </c>
      <c r="M447" t="s">
        <v>11</v>
      </c>
      <c r="N447" t="str">
        <f>IF(ISBLANK(Table1[[#This Row],[Payment method]]),"Unknown",Table1[[#This Row],[Payment method]])</f>
        <v>Cash on Delivery</v>
      </c>
      <c r="O447" t="s">
        <v>5</v>
      </c>
      <c r="P447" t="str">
        <f>IF(Table1[[#This Row],[Unit price]]&gt;2000,"High Price","Standard Price")</f>
        <v>Standard Price</v>
      </c>
    </row>
    <row r="448" spans="1:16" x14ac:dyDescent="0.3">
      <c r="A448" s="3">
        <v>10447</v>
      </c>
      <c r="B448" s="1">
        <v>45809</v>
      </c>
      <c r="C448" s="3" t="s">
        <v>189</v>
      </c>
      <c r="D448" s="3" t="s">
        <v>1</v>
      </c>
      <c r="E448" t="s">
        <v>20</v>
      </c>
      <c r="F448" t="s">
        <v>20</v>
      </c>
      <c r="G448" t="str">
        <f>IF(ISBLANK(Table1[[#This Row],[State]]),"Unknown",Table1[[#This Row],[State]])</f>
        <v>Delhi</v>
      </c>
      <c r="H448" t="s">
        <v>9</v>
      </c>
      <c r="I448" t="s">
        <v>16</v>
      </c>
      <c r="J448" t="str">
        <f>IF(ISBLANK(Table1[[#This Row],[Product]]),"Unknown",Table1[[#This Row],[Product]])</f>
        <v>Lamp</v>
      </c>
      <c r="K448" s="3">
        <v>2</v>
      </c>
      <c r="L448" s="10">
        <v>799</v>
      </c>
      <c r="N448" t="str">
        <f>IF(ISBLANK(Table1[[#This Row],[Payment method]]),"Unknown",Table1[[#This Row],[Payment method]])</f>
        <v>Unknown</v>
      </c>
      <c r="O448" t="s">
        <v>12</v>
      </c>
      <c r="P448" t="str">
        <f>IF(Table1[[#This Row],[Unit price]]&gt;2000,"High Price","Standard Price")</f>
        <v>Standard Price</v>
      </c>
    </row>
    <row r="449" spans="1:16" x14ac:dyDescent="0.3">
      <c r="A449" s="3">
        <v>10448</v>
      </c>
      <c r="B449" s="1">
        <v>45735</v>
      </c>
      <c r="C449" s="3" t="s">
        <v>182</v>
      </c>
      <c r="D449" s="3" t="s">
        <v>19</v>
      </c>
      <c r="E449" t="s">
        <v>32</v>
      </c>
      <c r="F449" t="s">
        <v>36</v>
      </c>
      <c r="G449" t="str">
        <f>IF(ISBLANK(Table1[[#This Row],[State]]),"Unknown",Table1[[#This Row],[State]])</f>
        <v>Maharastra</v>
      </c>
      <c r="H449" t="s">
        <v>9</v>
      </c>
      <c r="I449" t="s">
        <v>10</v>
      </c>
      <c r="J449" t="str">
        <f>IF(ISBLANK(Table1[[#This Row],[Product]]),"Unknown",Table1[[#This Row],[Product]])</f>
        <v>Chair</v>
      </c>
      <c r="K449" s="3">
        <v>3</v>
      </c>
      <c r="L449" s="10">
        <v>299</v>
      </c>
      <c r="N449" t="str">
        <f>IF(ISBLANK(Table1[[#This Row],[Payment method]]),"Unknown",Table1[[#This Row],[Payment method]])</f>
        <v>Unknown</v>
      </c>
      <c r="O449" t="s">
        <v>12</v>
      </c>
      <c r="P449" t="str">
        <f>IF(Table1[[#This Row],[Unit price]]&gt;2000,"High Price","Standard Price")</f>
        <v>Standard Price</v>
      </c>
    </row>
    <row r="450" spans="1:16" x14ac:dyDescent="0.3">
      <c r="A450" s="3">
        <v>10449</v>
      </c>
      <c r="B450" s="1">
        <v>45821</v>
      </c>
      <c r="C450" s="3" t="s">
        <v>117</v>
      </c>
      <c r="D450" s="3" t="s">
        <v>43</v>
      </c>
      <c r="E450" t="s">
        <v>32</v>
      </c>
      <c r="F450" t="s">
        <v>36</v>
      </c>
      <c r="G450" t="str">
        <f>IF(ISBLANK(Table1[[#This Row],[State]]),"Unknown",Table1[[#This Row],[State]])</f>
        <v>Maharastra</v>
      </c>
      <c r="H450" t="s">
        <v>33</v>
      </c>
      <c r="I450" t="s">
        <v>21</v>
      </c>
      <c r="J450" t="str">
        <f>IF(ISBLANK(Table1[[#This Row],[Product]]),"Unknown",Table1[[#This Row],[Product]])</f>
        <v>Headphones</v>
      </c>
      <c r="K450" s="3">
        <v>3</v>
      </c>
      <c r="L450" s="10">
        <v>1999</v>
      </c>
      <c r="M450" t="s">
        <v>11</v>
      </c>
      <c r="N450" t="str">
        <f>IF(ISBLANK(Table1[[#This Row],[Payment method]]),"Unknown",Table1[[#This Row],[Payment method]])</f>
        <v>Cash on Delivery</v>
      </c>
      <c r="O450" t="s">
        <v>12</v>
      </c>
      <c r="P450" t="str">
        <f>IF(Table1[[#This Row],[Unit price]]&gt;2000,"High Price","Standard Price")</f>
        <v>Standard Price</v>
      </c>
    </row>
    <row r="451" spans="1:16" x14ac:dyDescent="0.3">
      <c r="A451" s="3">
        <v>10450</v>
      </c>
      <c r="B451" s="1">
        <v>45683</v>
      </c>
      <c r="C451" s="3" t="s">
        <v>44</v>
      </c>
      <c r="D451" s="3" t="s">
        <v>39</v>
      </c>
      <c r="E451" t="s">
        <v>32</v>
      </c>
      <c r="G451" t="str">
        <f>IF(ISBLANK(Table1[[#This Row],[State]]),"Unknown",Table1[[#This Row],[State]])</f>
        <v>Unknown</v>
      </c>
      <c r="H451" t="s">
        <v>33</v>
      </c>
      <c r="I451" t="s">
        <v>37</v>
      </c>
      <c r="J451" t="str">
        <f>IF(ISBLANK(Table1[[#This Row],[Product]]),"Unknown",Table1[[#This Row],[Product]])</f>
        <v>Mouse</v>
      </c>
      <c r="K451" s="3">
        <v>4</v>
      </c>
      <c r="L451" s="10">
        <v>1299</v>
      </c>
      <c r="M451" t="s">
        <v>11</v>
      </c>
      <c r="N451" t="str">
        <f>IF(ISBLANK(Table1[[#This Row],[Payment method]]),"Unknown",Table1[[#This Row],[Payment method]])</f>
        <v>Cash on Delivery</v>
      </c>
      <c r="O451" t="s">
        <v>12</v>
      </c>
      <c r="P451" t="str">
        <f>IF(Table1[[#This Row],[Unit price]]&gt;2000,"High Price","Standard Price")</f>
        <v>Standard Price</v>
      </c>
    </row>
    <row r="452" spans="1:16" x14ac:dyDescent="0.3">
      <c r="A452" s="3">
        <v>10451</v>
      </c>
      <c r="B452" s="1">
        <v>45704</v>
      </c>
      <c r="C452" s="3" t="s">
        <v>215</v>
      </c>
      <c r="D452" s="3" t="s">
        <v>7</v>
      </c>
      <c r="E452" t="s">
        <v>247</v>
      </c>
      <c r="F452" t="s">
        <v>36</v>
      </c>
      <c r="G452" t="str">
        <f>IF(ISBLANK(Table1[[#This Row],[State]]),"Unknown",Table1[[#This Row],[State]])</f>
        <v>Maharastra</v>
      </c>
      <c r="H452" t="s">
        <v>9</v>
      </c>
      <c r="I452" t="s">
        <v>10</v>
      </c>
      <c r="J452" t="str">
        <f>IF(ISBLANK(Table1[[#This Row],[Product]]),"Unknown",Table1[[#This Row],[Product]])</f>
        <v>Chair</v>
      </c>
      <c r="K452" s="3">
        <v>4</v>
      </c>
      <c r="L452" s="10">
        <v>799</v>
      </c>
      <c r="M452" t="s">
        <v>4</v>
      </c>
      <c r="N452" t="str">
        <f>IF(ISBLANK(Table1[[#This Row],[Payment method]]),"Unknown",Table1[[#This Row],[Payment method]])</f>
        <v>Net Banking</v>
      </c>
      <c r="O452" t="s">
        <v>5</v>
      </c>
      <c r="P452" t="str">
        <f>IF(Table1[[#This Row],[Unit price]]&gt;2000,"High Price","Standard Price")</f>
        <v>Standard Price</v>
      </c>
    </row>
    <row r="453" spans="1:16" x14ac:dyDescent="0.3">
      <c r="A453" s="3">
        <v>10452</v>
      </c>
      <c r="B453" s="1">
        <v>45743</v>
      </c>
      <c r="C453" s="3" t="s">
        <v>38</v>
      </c>
      <c r="D453" s="3" t="s">
        <v>19</v>
      </c>
      <c r="E453" t="s">
        <v>32</v>
      </c>
      <c r="F453" t="s">
        <v>15</v>
      </c>
      <c r="G453" t="str">
        <f>IF(ISBLANK(Table1[[#This Row],[State]]),"Unknown",Table1[[#This Row],[State]])</f>
        <v>Maharashtra</v>
      </c>
      <c r="H453" t="s">
        <v>2</v>
      </c>
      <c r="I453" t="s">
        <v>3</v>
      </c>
      <c r="J453" t="str">
        <f>IF(ISBLANK(Table1[[#This Row],[Product]]),"Unknown",Table1[[#This Row],[Product]])</f>
        <v>T-Shirt</v>
      </c>
      <c r="K453" s="3">
        <v>5</v>
      </c>
      <c r="L453" s="10">
        <v>499</v>
      </c>
      <c r="N453" t="str">
        <f>IF(ISBLANK(Table1[[#This Row],[Payment method]]),"Unknown",Table1[[#This Row],[Payment method]])</f>
        <v>Unknown</v>
      </c>
      <c r="O453" t="s">
        <v>17</v>
      </c>
      <c r="P453" t="str">
        <f>IF(Table1[[#This Row],[Unit price]]&gt;2000,"High Price","Standard Price")</f>
        <v>Standard Price</v>
      </c>
    </row>
    <row r="454" spans="1:16" x14ac:dyDescent="0.3">
      <c r="A454" s="3">
        <v>10453</v>
      </c>
      <c r="B454" s="1">
        <v>45659</v>
      </c>
      <c r="C454" s="3" t="s">
        <v>139</v>
      </c>
      <c r="D454" s="3" t="s">
        <v>19</v>
      </c>
      <c r="E454" t="s">
        <v>8</v>
      </c>
      <c r="F454" t="s">
        <v>52</v>
      </c>
      <c r="G454" t="str">
        <f>IF(ISBLANK(Table1[[#This Row],[State]]),"Unknown",Table1[[#This Row],[State]])</f>
        <v>Karnataka</v>
      </c>
      <c r="H454" t="s">
        <v>33</v>
      </c>
      <c r="I454" t="s">
        <v>37</v>
      </c>
      <c r="J454" t="str">
        <f>IF(ISBLANK(Table1[[#This Row],[Product]]),"Unknown",Table1[[#This Row],[Product]])</f>
        <v>Mouse</v>
      </c>
      <c r="K454" s="3">
        <v>1</v>
      </c>
      <c r="L454" s="10">
        <v>1999</v>
      </c>
      <c r="M454" t="s">
        <v>11</v>
      </c>
      <c r="N454" t="str">
        <f>IF(ISBLANK(Table1[[#This Row],[Payment method]]),"Unknown",Table1[[#This Row],[Payment method]])</f>
        <v>Cash on Delivery</v>
      </c>
      <c r="O454" t="s">
        <v>17</v>
      </c>
      <c r="P454" t="str">
        <f>IF(Table1[[#This Row],[Unit price]]&gt;2000,"High Price","Standard Price")</f>
        <v>Standard Price</v>
      </c>
    </row>
    <row r="455" spans="1:16" x14ac:dyDescent="0.3">
      <c r="A455" s="3">
        <v>10454</v>
      </c>
      <c r="B455" s="1">
        <v>45842</v>
      </c>
      <c r="C455" s="3" t="s">
        <v>116</v>
      </c>
      <c r="D455" s="3" t="s">
        <v>19</v>
      </c>
      <c r="E455" t="s">
        <v>20</v>
      </c>
      <c r="F455" t="s">
        <v>20</v>
      </c>
      <c r="G455" t="str">
        <f>IF(ISBLANK(Table1[[#This Row],[State]]),"Unknown",Table1[[#This Row],[State]])</f>
        <v>Delhi</v>
      </c>
      <c r="H455" t="s">
        <v>2</v>
      </c>
      <c r="I455" t="s">
        <v>24</v>
      </c>
      <c r="J455" t="str">
        <f>IF(ISBLANK(Table1[[#This Row],[Product]]),"Unknown",Table1[[#This Row],[Product]])</f>
        <v>Jeans</v>
      </c>
      <c r="K455" s="3">
        <v>1</v>
      </c>
      <c r="L455" s="10">
        <v>499</v>
      </c>
      <c r="M455" t="s">
        <v>11</v>
      </c>
      <c r="N455" t="str">
        <f>IF(ISBLANK(Table1[[#This Row],[Payment method]]),"Unknown",Table1[[#This Row],[Payment method]])</f>
        <v>Cash on Delivery</v>
      </c>
      <c r="O455" t="s">
        <v>17</v>
      </c>
      <c r="P455" t="str">
        <f>IF(Table1[[#This Row],[Unit price]]&gt;2000,"High Price","Standard Price")</f>
        <v>Standard Price</v>
      </c>
    </row>
    <row r="456" spans="1:16" x14ac:dyDescent="0.3">
      <c r="A456" s="3">
        <v>10455</v>
      </c>
      <c r="B456" s="1">
        <v>45779</v>
      </c>
      <c r="C456" s="3" t="s">
        <v>111</v>
      </c>
      <c r="D456" s="3" t="s">
        <v>1</v>
      </c>
      <c r="E456" t="s">
        <v>45</v>
      </c>
      <c r="F456" t="s">
        <v>54</v>
      </c>
      <c r="G456" t="str">
        <f>IF(ISBLANK(Table1[[#This Row],[State]]),"Unknown",Table1[[#This Row],[State]])</f>
        <v>Uttar Pradesh</v>
      </c>
      <c r="H456" t="s">
        <v>2</v>
      </c>
      <c r="I456" t="s">
        <v>3</v>
      </c>
      <c r="J456" t="str">
        <f>IF(ISBLANK(Table1[[#This Row],[Product]]),"Unknown",Table1[[#This Row],[Product]])</f>
        <v>T-Shirt</v>
      </c>
      <c r="K456" s="3">
        <v>2</v>
      </c>
      <c r="L456" s="10">
        <v>-100</v>
      </c>
      <c r="M456" t="s">
        <v>4</v>
      </c>
      <c r="N456" t="str">
        <f>IF(ISBLANK(Table1[[#This Row],[Payment method]]),"Unknown",Table1[[#This Row],[Payment method]])</f>
        <v>Net Banking</v>
      </c>
      <c r="O456" t="s">
        <v>17</v>
      </c>
      <c r="P456" t="str">
        <f>IF(Table1[[#This Row],[Unit price]]&gt;2000,"High Price","Standard Price")</f>
        <v>Standard Price</v>
      </c>
    </row>
    <row r="457" spans="1:16" x14ac:dyDescent="0.3">
      <c r="A457" s="3">
        <v>10456</v>
      </c>
      <c r="B457" s="1">
        <v>45673</v>
      </c>
      <c r="C457" s="3" t="s">
        <v>81</v>
      </c>
      <c r="D457" s="3" t="s">
        <v>43</v>
      </c>
      <c r="E457" t="s">
        <v>8</v>
      </c>
      <c r="G457" t="str">
        <f>IF(ISBLANK(Table1[[#This Row],[State]]),"Unknown",Table1[[#This Row],[State]])</f>
        <v>Unknown</v>
      </c>
      <c r="H457" t="s">
        <v>9</v>
      </c>
      <c r="I457" t="s">
        <v>10</v>
      </c>
      <c r="J457" t="str">
        <f>IF(ISBLANK(Table1[[#This Row],[Product]]),"Unknown",Table1[[#This Row],[Product]])</f>
        <v>Chair</v>
      </c>
      <c r="K457" s="3">
        <v>3</v>
      </c>
      <c r="L457" s="10">
        <v>499</v>
      </c>
      <c r="N457" t="str">
        <f>IF(ISBLANK(Table1[[#This Row],[Payment method]]),"Unknown",Table1[[#This Row],[Payment method]])</f>
        <v>Unknown</v>
      </c>
      <c r="O457" t="s">
        <v>58</v>
      </c>
      <c r="P457" t="str">
        <f>IF(Table1[[#This Row],[Unit price]]&gt;2000,"High Price","Standard Price")</f>
        <v>Standard Price</v>
      </c>
    </row>
    <row r="458" spans="1:16" x14ac:dyDescent="0.3">
      <c r="A458" s="3">
        <v>10457</v>
      </c>
      <c r="B458" s="1">
        <v>45772</v>
      </c>
      <c r="C458" s="3" t="s">
        <v>155</v>
      </c>
      <c r="D458" s="3" t="s">
        <v>1</v>
      </c>
      <c r="E458" t="s">
        <v>248</v>
      </c>
      <c r="F458" t="s">
        <v>52</v>
      </c>
      <c r="G458" t="str">
        <f>IF(ISBLANK(Table1[[#This Row],[State]]),"Unknown",Table1[[#This Row],[State]])</f>
        <v>Karnataka</v>
      </c>
      <c r="H458" t="s">
        <v>9</v>
      </c>
      <c r="I458" t="s">
        <v>16</v>
      </c>
      <c r="J458" t="str">
        <f>IF(ISBLANK(Table1[[#This Row],[Product]]),"Unknown",Table1[[#This Row],[Product]])</f>
        <v>Lamp</v>
      </c>
      <c r="K458" s="3">
        <v>2</v>
      </c>
      <c r="L458" s="10">
        <v>299</v>
      </c>
      <c r="M458" t="s">
        <v>4</v>
      </c>
      <c r="N458" t="str">
        <f>IF(ISBLANK(Table1[[#This Row],[Payment method]]),"Unknown",Table1[[#This Row],[Payment method]])</f>
        <v>Net Banking</v>
      </c>
      <c r="O458" t="s">
        <v>5</v>
      </c>
      <c r="P458" t="str">
        <f>IF(Table1[[#This Row],[Unit price]]&gt;2000,"High Price","Standard Price")</f>
        <v>Standard Price</v>
      </c>
    </row>
    <row r="459" spans="1:16" x14ac:dyDescent="0.3">
      <c r="A459" s="3">
        <v>10458</v>
      </c>
      <c r="B459" s="1">
        <v>45658</v>
      </c>
      <c r="C459" s="3" t="s">
        <v>59</v>
      </c>
      <c r="D459" s="3" t="s">
        <v>39</v>
      </c>
      <c r="E459" t="s">
        <v>20</v>
      </c>
      <c r="F459" t="s">
        <v>20</v>
      </c>
      <c r="G459" t="str">
        <f>IF(ISBLANK(Table1[[#This Row],[State]]),"Unknown",Table1[[#This Row],[State]])</f>
        <v>Delhi</v>
      </c>
      <c r="H459" t="s">
        <v>2</v>
      </c>
      <c r="I459" t="s">
        <v>3</v>
      </c>
      <c r="J459" t="str">
        <f>IF(ISBLANK(Table1[[#This Row],[Product]]),"Unknown",Table1[[#This Row],[Product]])</f>
        <v>T-Shirt</v>
      </c>
      <c r="K459" s="3">
        <v>5</v>
      </c>
      <c r="L459" s="10">
        <v>1299</v>
      </c>
      <c r="N459" t="str">
        <f>IF(ISBLANK(Table1[[#This Row],[Payment method]]),"Unknown",Table1[[#This Row],[Payment method]])</f>
        <v>Unknown</v>
      </c>
      <c r="O459" t="s">
        <v>5</v>
      </c>
      <c r="P459" t="str">
        <f>IF(Table1[[#This Row],[Unit price]]&gt;2000,"High Price","Standard Price")</f>
        <v>Standard Price</v>
      </c>
    </row>
    <row r="460" spans="1:16" x14ac:dyDescent="0.3">
      <c r="A460" s="3">
        <v>10459</v>
      </c>
      <c r="B460" s="1">
        <v>45931</v>
      </c>
      <c r="C460" s="3" t="s">
        <v>67</v>
      </c>
      <c r="D460" s="3" t="s">
        <v>19</v>
      </c>
      <c r="E460" t="s">
        <v>8</v>
      </c>
      <c r="F460" t="s">
        <v>52</v>
      </c>
      <c r="G460" t="str">
        <f>IF(ISBLANK(Table1[[#This Row],[State]]),"Unknown",Table1[[#This Row],[State]])</f>
        <v>Karnataka</v>
      </c>
      <c r="H460" t="s">
        <v>9</v>
      </c>
      <c r="I460" t="s">
        <v>16</v>
      </c>
      <c r="J460" t="str">
        <f>IF(ISBLANK(Table1[[#This Row],[Product]]),"Unknown",Table1[[#This Row],[Product]])</f>
        <v>Lamp</v>
      </c>
      <c r="K460" s="3">
        <v>3</v>
      </c>
      <c r="L460" s="10">
        <v>1299</v>
      </c>
      <c r="N460" t="str">
        <f>IF(ISBLANK(Table1[[#This Row],[Payment method]]),"Unknown",Table1[[#This Row],[Payment method]])</f>
        <v>Unknown</v>
      </c>
      <c r="O460" t="s">
        <v>17</v>
      </c>
      <c r="P460" t="str">
        <f>IF(Table1[[#This Row],[Unit price]]&gt;2000,"High Price","Standard Price")</f>
        <v>Standard Price</v>
      </c>
    </row>
    <row r="461" spans="1:16" x14ac:dyDescent="0.3">
      <c r="A461" s="3">
        <v>10460</v>
      </c>
      <c r="B461" s="1">
        <v>45739</v>
      </c>
      <c r="C461" s="3" t="s">
        <v>116</v>
      </c>
      <c r="D461" s="3" t="s">
        <v>39</v>
      </c>
      <c r="E461" t="s">
        <v>8</v>
      </c>
      <c r="F461" t="s">
        <v>52</v>
      </c>
      <c r="G461" t="str">
        <f>IF(ISBLANK(Table1[[#This Row],[State]]),"Unknown",Table1[[#This Row],[State]])</f>
        <v>Karnataka</v>
      </c>
      <c r="H461" t="s">
        <v>33</v>
      </c>
      <c r="I461" t="s">
        <v>49</v>
      </c>
      <c r="J461" t="str">
        <f>IF(ISBLANK(Table1[[#This Row],[Product]]),"Unknown",Table1[[#This Row],[Product]])</f>
        <v>Keyboard</v>
      </c>
      <c r="K461" s="3">
        <v>1</v>
      </c>
      <c r="L461" s="10">
        <v>1999</v>
      </c>
      <c r="N461" t="str">
        <f>IF(ISBLANK(Table1[[#This Row],[Payment method]]),"Unknown",Table1[[#This Row],[Payment method]])</f>
        <v>Unknown</v>
      </c>
      <c r="O461" t="s">
        <v>58</v>
      </c>
      <c r="P461" t="str">
        <f>IF(Table1[[#This Row],[Unit price]]&gt;2000,"High Price","Standard Price")</f>
        <v>Standard Price</v>
      </c>
    </row>
    <row r="462" spans="1:16" x14ac:dyDescent="0.3">
      <c r="A462" s="3">
        <v>10461</v>
      </c>
      <c r="B462" s="1">
        <v>45708</v>
      </c>
      <c r="C462" s="3" t="s">
        <v>78</v>
      </c>
      <c r="D462" s="3" t="s">
        <v>57</v>
      </c>
      <c r="E462" t="s">
        <v>20</v>
      </c>
      <c r="F462" t="s">
        <v>20</v>
      </c>
      <c r="G462" t="str">
        <f>IF(ISBLANK(Table1[[#This Row],[State]]),"Unknown",Table1[[#This Row],[State]])</f>
        <v>Delhi</v>
      </c>
      <c r="H462" t="s">
        <v>2</v>
      </c>
      <c r="I462" t="s">
        <v>24</v>
      </c>
      <c r="J462" t="str">
        <f>IF(ISBLANK(Table1[[#This Row],[Product]]),"Unknown",Table1[[#This Row],[Product]])</f>
        <v>Jeans</v>
      </c>
      <c r="K462" s="3">
        <v>4</v>
      </c>
      <c r="L462" s="10">
        <v>799</v>
      </c>
      <c r="M462" t="s">
        <v>26</v>
      </c>
      <c r="N462" t="str">
        <f>IF(ISBLANK(Table1[[#This Row],[Payment method]]),"Unknown",Table1[[#This Row],[Payment method]])</f>
        <v>Card</v>
      </c>
      <c r="O462" t="s">
        <v>12</v>
      </c>
      <c r="P462" t="str">
        <f>IF(Table1[[#This Row],[Unit price]]&gt;2000,"High Price","Standard Price")</f>
        <v>Standard Price</v>
      </c>
    </row>
    <row r="463" spans="1:16" x14ac:dyDescent="0.3">
      <c r="A463" s="3">
        <v>10462</v>
      </c>
      <c r="B463" s="1">
        <v>45677</v>
      </c>
      <c r="C463" s="3" t="s">
        <v>129</v>
      </c>
      <c r="D463" s="3" t="s">
        <v>7</v>
      </c>
      <c r="E463" t="s">
        <v>20</v>
      </c>
      <c r="F463" t="s">
        <v>20</v>
      </c>
      <c r="G463" t="str">
        <f>IF(ISBLANK(Table1[[#This Row],[State]]),"Unknown",Table1[[#This Row],[State]])</f>
        <v>Delhi</v>
      </c>
      <c r="H463" t="s">
        <v>2</v>
      </c>
      <c r="I463" t="s">
        <v>24</v>
      </c>
      <c r="J463" t="str">
        <f>IF(ISBLANK(Table1[[#This Row],[Product]]),"Unknown",Table1[[#This Row],[Product]])</f>
        <v>Jeans</v>
      </c>
      <c r="K463" s="3">
        <v>4</v>
      </c>
      <c r="L463" s="10">
        <v>799</v>
      </c>
      <c r="M463" t="s">
        <v>26</v>
      </c>
      <c r="N463" t="str">
        <f>IF(ISBLANK(Table1[[#This Row],[Payment method]]),"Unknown",Table1[[#This Row],[Payment method]])</f>
        <v>Card</v>
      </c>
      <c r="O463" t="s">
        <v>17</v>
      </c>
      <c r="P463" t="str">
        <f>IF(Table1[[#This Row],[Unit price]]&gt;2000,"High Price","Standard Price")</f>
        <v>Standard Price</v>
      </c>
    </row>
    <row r="464" spans="1:16" x14ac:dyDescent="0.3">
      <c r="A464" s="3">
        <v>10463</v>
      </c>
      <c r="B464" s="1">
        <v>45742</v>
      </c>
      <c r="C464" s="3" t="s">
        <v>167</v>
      </c>
      <c r="D464" s="3" t="s">
        <v>43</v>
      </c>
      <c r="E464" t="s">
        <v>35</v>
      </c>
      <c r="F464" t="s">
        <v>36</v>
      </c>
      <c r="G464" t="str">
        <f>IF(ISBLANK(Table1[[#This Row],[State]]),"Unknown",Table1[[#This Row],[State]])</f>
        <v>Maharastra</v>
      </c>
      <c r="H464" t="s">
        <v>33</v>
      </c>
      <c r="I464" t="s">
        <v>37</v>
      </c>
      <c r="J464" t="str">
        <f>IF(ISBLANK(Table1[[#This Row],[Product]]),"Unknown",Table1[[#This Row],[Product]])</f>
        <v>Mouse</v>
      </c>
      <c r="K464" s="3">
        <v>5</v>
      </c>
      <c r="L464" s="10">
        <v>1299</v>
      </c>
      <c r="M464" t="s">
        <v>4</v>
      </c>
      <c r="N464" t="str">
        <f>IF(ISBLANK(Table1[[#This Row],[Payment method]]),"Unknown",Table1[[#This Row],[Payment method]])</f>
        <v>Net Banking</v>
      </c>
      <c r="O464" t="s">
        <v>58</v>
      </c>
      <c r="P464" t="str">
        <f>IF(Table1[[#This Row],[Unit price]]&gt;2000,"High Price","Standard Price")</f>
        <v>Standard Price</v>
      </c>
    </row>
    <row r="465" spans="1:16" x14ac:dyDescent="0.3">
      <c r="A465" s="3">
        <v>10464</v>
      </c>
      <c r="B465" s="1">
        <v>45748</v>
      </c>
      <c r="C465" s="3" t="s">
        <v>82</v>
      </c>
      <c r="D465" s="3" t="s">
        <v>23</v>
      </c>
      <c r="E465" t="s">
        <v>248</v>
      </c>
      <c r="F465" t="s">
        <v>52</v>
      </c>
      <c r="G465" t="str">
        <f>IF(ISBLANK(Table1[[#This Row],[State]]),"Unknown",Table1[[#This Row],[State]])</f>
        <v>Karnataka</v>
      </c>
      <c r="H465" t="s">
        <v>33</v>
      </c>
      <c r="I465" t="s">
        <v>37</v>
      </c>
      <c r="J465" t="str">
        <f>IF(ISBLANK(Table1[[#This Row],[Product]]),"Unknown",Table1[[#This Row],[Product]])</f>
        <v>Mouse</v>
      </c>
      <c r="K465" s="3">
        <v>1</v>
      </c>
      <c r="L465" s="10">
        <v>499</v>
      </c>
      <c r="M465" t="s">
        <v>11</v>
      </c>
      <c r="N465" t="str">
        <f>IF(ISBLANK(Table1[[#This Row],[Payment method]]),"Unknown",Table1[[#This Row],[Payment method]])</f>
        <v>Cash on Delivery</v>
      </c>
      <c r="O465" t="s">
        <v>58</v>
      </c>
      <c r="P465" t="str">
        <f>IF(Table1[[#This Row],[Unit price]]&gt;2000,"High Price","Standard Price")</f>
        <v>Standard Price</v>
      </c>
    </row>
    <row r="466" spans="1:16" x14ac:dyDescent="0.3">
      <c r="A466" s="3">
        <v>10465</v>
      </c>
      <c r="B466" s="1">
        <v>45678</v>
      </c>
      <c r="C466" s="3" t="s">
        <v>165</v>
      </c>
      <c r="D466" s="3" t="s">
        <v>39</v>
      </c>
      <c r="E466" t="s">
        <v>20</v>
      </c>
      <c r="F466" t="s">
        <v>20</v>
      </c>
      <c r="G466" t="str">
        <f>IF(ISBLANK(Table1[[#This Row],[State]]),"Unknown",Table1[[#This Row],[State]])</f>
        <v>Delhi</v>
      </c>
      <c r="H466" t="s">
        <v>2</v>
      </c>
      <c r="I466" t="s">
        <v>24</v>
      </c>
      <c r="J466" t="str">
        <f>IF(ISBLANK(Table1[[#This Row],[Product]]),"Unknown",Table1[[#This Row],[Product]])</f>
        <v>Jeans</v>
      </c>
      <c r="K466" s="3">
        <v>2</v>
      </c>
      <c r="L466" s="10">
        <v>1999</v>
      </c>
      <c r="M466" t="s">
        <v>26</v>
      </c>
      <c r="N466" t="str">
        <f>IF(ISBLANK(Table1[[#This Row],[Payment method]]),"Unknown",Table1[[#This Row],[Payment method]])</f>
        <v>Card</v>
      </c>
      <c r="O466" t="s">
        <v>5</v>
      </c>
      <c r="P466" t="str">
        <f>IF(Table1[[#This Row],[Unit price]]&gt;2000,"High Price","Standard Price")</f>
        <v>Standard Price</v>
      </c>
    </row>
    <row r="467" spans="1:16" x14ac:dyDescent="0.3">
      <c r="A467" s="3">
        <v>10466</v>
      </c>
      <c r="B467" s="1">
        <v>45706</v>
      </c>
      <c r="C467" s="3" t="s">
        <v>139</v>
      </c>
      <c r="D467" s="3" t="s">
        <v>1</v>
      </c>
      <c r="E467" t="s">
        <v>35</v>
      </c>
      <c r="F467" t="s">
        <v>15</v>
      </c>
      <c r="G467" t="str">
        <f>IF(ISBLANK(Table1[[#This Row],[State]]),"Unknown",Table1[[#This Row],[State]])</f>
        <v>Maharashtra</v>
      </c>
      <c r="H467" t="s">
        <v>9</v>
      </c>
      <c r="I467" t="s">
        <v>16</v>
      </c>
      <c r="J467" t="str">
        <f>IF(ISBLANK(Table1[[#This Row],[Product]]),"Unknown",Table1[[#This Row],[Product]])</f>
        <v>Lamp</v>
      </c>
      <c r="K467" s="3">
        <v>2</v>
      </c>
      <c r="L467" s="10">
        <v>1999</v>
      </c>
      <c r="M467" t="s">
        <v>11</v>
      </c>
      <c r="N467" t="str">
        <f>IF(ISBLANK(Table1[[#This Row],[Payment method]]),"Unknown",Table1[[#This Row],[Payment method]])</f>
        <v>Cash on Delivery</v>
      </c>
      <c r="O467" t="s">
        <v>17</v>
      </c>
      <c r="P467" t="str">
        <f>IF(Table1[[#This Row],[Unit price]]&gt;2000,"High Price","Standard Price")</f>
        <v>Standard Price</v>
      </c>
    </row>
    <row r="468" spans="1:16" x14ac:dyDescent="0.3">
      <c r="A468" s="3">
        <v>10467</v>
      </c>
      <c r="B468" s="1">
        <v>45721</v>
      </c>
      <c r="C468" s="3" t="s">
        <v>172</v>
      </c>
      <c r="D468" s="3" t="s">
        <v>1</v>
      </c>
      <c r="E468" t="s">
        <v>32</v>
      </c>
      <c r="F468" t="s">
        <v>15</v>
      </c>
      <c r="G468" t="str">
        <f>IF(ISBLANK(Table1[[#This Row],[State]]),"Unknown",Table1[[#This Row],[State]])</f>
        <v>Maharashtra</v>
      </c>
      <c r="H468" t="s">
        <v>9</v>
      </c>
      <c r="I468" t="s">
        <v>16</v>
      </c>
      <c r="J468" t="str">
        <f>IF(ISBLANK(Table1[[#This Row],[Product]]),"Unknown",Table1[[#This Row],[Product]])</f>
        <v>Lamp</v>
      </c>
      <c r="K468" s="3">
        <v>3</v>
      </c>
      <c r="L468" s="10">
        <v>799</v>
      </c>
      <c r="N468" t="str">
        <f>IF(ISBLANK(Table1[[#This Row],[Payment method]]),"Unknown",Table1[[#This Row],[Payment method]])</f>
        <v>Unknown</v>
      </c>
      <c r="O468" t="s">
        <v>17</v>
      </c>
      <c r="P468" t="str">
        <f>IF(Table1[[#This Row],[Unit price]]&gt;2000,"High Price","Standard Price")</f>
        <v>Standard Price</v>
      </c>
    </row>
    <row r="469" spans="1:16" x14ac:dyDescent="0.3">
      <c r="A469" s="3">
        <v>10468</v>
      </c>
      <c r="B469" s="1">
        <v>45728</v>
      </c>
      <c r="C469" s="3" t="s">
        <v>197</v>
      </c>
      <c r="D469" s="3" t="s">
        <v>1</v>
      </c>
      <c r="E469" t="s">
        <v>248</v>
      </c>
      <c r="G469" t="str">
        <f>IF(ISBLANK(Table1[[#This Row],[State]]),"Unknown",Table1[[#This Row],[State]])</f>
        <v>Unknown</v>
      </c>
      <c r="H469" t="s">
        <v>2</v>
      </c>
      <c r="I469" t="s">
        <v>3</v>
      </c>
      <c r="J469" t="str">
        <f>IF(ISBLANK(Table1[[#This Row],[Product]]),"Unknown",Table1[[#This Row],[Product]])</f>
        <v>T-Shirt</v>
      </c>
      <c r="K469" s="3">
        <v>1</v>
      </c>
      <c r="L469" s="10">
        <v>799</v>
      </c>
      <c r="N469" t="str">
        <f>IF(ISBLANK(Table1[[#This Row],[Payment method]]),"Unknown",Table1[[#This Row],[Payment method]])</f>
        <v>Unknown</v>
      </c>
      <c r="O469" t="s">
        <v>58</v>
      </c>
      <c r="P469" t="str">
        <f>IF(Table1[[#This Row],[Unit price]]&gt;2000,"High Price","Standard Price")</f>
        <v>Standard Price</v>
      </c>
    </row>
    <row r="470" spans="1:16" x14ac:dyDescent="0.3">
      <c r="A470" s="3">
        <v>10469</v>
      </c>
      <c r="B470" s="1">
        <v>45693</v>
      </c>
      <c r="C470" s="3" t="s">
        <v>69</v>
      </c>
      <c r="D470" s="3" t="s">
        <v>39</v>
      </c>
      <c r="E470" t="s">
        <v>20</v>
      </c>
      <c r="F470" t="s">
        <v>20</v>
      </c>
      <c r="G470" t="str">
        <f>IF(ISBLANK(Table1[[#This Row],[State]]),"Unknown",Table1[[#This Row],[State]])</f>
        <v>Delhi</v>
      </c>
      <c r="H470" t="s">
        <v>9</v>
      </c>
      <c r="I470" t="s">
        <v>10</v>
      </c>
      <c r="J470" t="str">
        <f>IF(ISBLANK(Table1[[#This Row],[Product]]),"Unknown",Table1[[#This Row],[Product]])</f>
        <v>Chair</v>
      </c>
      <c r="K470" s="3">
        <v>4</v>
      </c>
      <c r="L470" s="10">
        <v>1999</v>
      </c>
      <c r="N470" t="str">
        <f>IF(ISBLANK(Table1[[#This Row],[Payment method]]),"Unknown",Table1[[#This Row],[Payment method]])</f>
        <v>Unknown</v>
      </c>
      <c r="O470" t="s">
        <v>12</v>
      </c>
      <c r="P470" t="str">
        <f>IF(Table1[[#This Row],[Unit price]]&gt;2000,"High Price","Standard Price")</f>
        <v>Standard Price</v>
      </c>
    </row>
    <row r="471" spans="1:16" x14ac:dyDescent="0.3">
      <c r="A471" s="3">
        <v>10470</v>
      </c>
      <c r="B471" s="1">
        <v>45768</v>
      </c>
      <c r="C471" s="3" t="s">
        <v>178</v>
      </c>
      <c r="D471" s="3" t="s">
        <v>23</v>
      </c>
      <c r="E471" t="s">
        <v>45</v>
      </c>
      <c r="F471" t="s">
        <v>54</v>
      </c>
      <c r="G471" t="str">
        <f>IF(ISBLANK(Table1[[#This Row],[State]]),"Unknown",Table1[[#This Row],[State]])</f>
        <v>Uttar Pradesh</v>
      </c>
      <c r="H471" t="s">
        <v>9</v>
      </c>
      <c r="I471" t="s">
        <v>16</v>
      </c>
      <c r="J471" t="str">
        <f>IF(ISBLANK(Table1[[#This Row],[Product]]),"Unknown",Table1[[#This Row],[Product]])</f>
        <v>Lamp</v>
      </c>
      <c r="K471" s="3">
        <v>1</v>
      </c>
      <c r="L471" s="10">
        <v>499</v>
      </c>
      <c r="M471" t="s">
        <v>11</v>
      </c>
      <c r="N471" t="str">
        <f>IF(ISBLANK(Table1[[#This Row],[Payment method]]),"Unknown",Table1[[#This Row],[Payment method]])</f>
        <v>Cash on Delivery</v>
      </c>
      <c r="O471" t="s">
        <v>5</v>
      </c>
      <c r="P471" t="str">
        <f>IF(Table1[[#This Row],[Unit price]]&gt;2000,"High Price","Standard Price")</f>
        <v>Standard Price</v>
      </c>
    </row>
    <row r="472" spans="1:16" x14ac:dyDescent="0.3">
      <c r="A472" s="3">
        <v>10471</v>
      </c>
      <c r="B472" s="1">
        <v>45804</v>
      </c>
      <c r="C472" s="3" t="s">
        <v>216</v>
      </c>
      <c r="D472" s="3" t="s">
        <v>39</v>
      </c>
      <c r="E472" t="s">
        <v>45</v>
      </c>
      <c r="F472" t="s">
        <v>54</v>
      </c>
      <c r="G472" t="str">
        <f>IF(ISBLANK(Table1[[#This Row],[State]]),"Unknown",Table1[[#This Row],[State]])</f>
        <v>Uttar Pradesh</v>
      </c>
      <c r="H472" t="s">
        <v>9</v>
      </c>
      <c r="I472" t="s">
        <v>16</v>
      </c>
      <c r="J472" t="str">
        <f>IF(ISBLANK(Table1[[#This Row],[Product]]),"Unknown",Table1[[#This Row],[Product]])</f>
        <v>Lamp</v>
      </c>
      <c r="K472" s="3">
        <v>5</v>
      </c>
      <c r="L472" s="10">
        <v>799</v>
      </c>
      <c r="M472" t="s">
        <v>26</v>
      </c>
      <c r="N472" t="str">
        <f>IF(ISBLANK(Table1[[#This Row],[Payment method]]),"Unknown",Table1[[#This Row],[Payment method]])</f>
        <v>Card</v>
      </c>
      <c r="O472" t="s">
        <v>12</v>
      </c>
      <c r="P472" t="str">
        <f>IF(Table1[[#This Row],[Unit price]]&gt;2000,"High Price","Standard Price")</f>
        <v>Standard Price</v>
      </c>
    </row>
    <row r="473" spans="1:16" x14ac:dyDescent="0.3">
      <c r="A473" s="3">
        <v>10472</v>
      </c>
      <c r="B473" s="1">
        <v>45747</v>
      </c>
      <c r="C473" s="3" t="s">
        <v>126</v>
      </c>
      <c r="D473" s="3" t="s">
        <v>14</v>
      </c>
      <c r="E473" t="s">
        <v>35</v>
      </c>
      <c r="F473" t="s">
        <v>36</v>
      </c>
      <c r="G473" t="str">
        <f>IF(ISBLANK(Table1[[#This Row],[State]]),"Unknown",Table1[[#This Row],[State]])</f>
        <v>Maharastra</v>
      </c>
      <c r="H473" t="s">
        <v>9</v>
      </c>
      <c r="I473" t="s">
        <v>10</v>
      </c>
      <c r="J473" t="str">
        <f>IF(ISBLANK(Table1[[#This Row],[Product]]),"Unknown",Table1[[#This Row],[Product]])</f>
        <v>Chair</v>
      </c>
      <c r="K473" s="3">
        <v>1</v>
      </c>
      <c r="L473" s="10">
        <v>299</v>
      </c>
      <c r="M473" t="s">
        <v>4</v>
      </c>
      <c r="N473" t="str">
        <f>IF(ISBLANK(Table1[[#This Row],[Payment method]]),"Unknown",Table1[[#This Row],[Payment method]])</f>
        <v>Net Banking</v>
      </c>
      <c r="O473" t="s">
        <v>12</v>
      </c>
      <c r="P473" t="str">
        <f>IF(Table1[[#This Row],[Unit price]]&gt;2000,"High Price","Standard Price")</f>
        <v>Standard Price</v>
      </c>
    </row>
    <row r="474" spans="1:16" x14ac:dyDescent="0.3">
      <c r="A474" s="3">
        <v>10473</v>
      </c>
      <c r="B474" s="1">
        <v>45804</v>
      </c>
      <c r="C474" s="3" t="s">
        <v>149</v>
      </c>
      <c r="D474" s="3" t="s">
        <v>14</v>
      </c>
      <c r="E474" t="s">
        <v>20</v>
      </c>
      <c r="G474" t="str">
        <f>IF(ISBLANK(Table1[[#This Row],[State]]),"Unknown",Table1[[#This Row],[State]])</f>
        <v>Unknown</v>
      </c>
      <c r="H474" t="s">
        <v>33</v>
      </c>
      <c r="I474" t="s">
        <v>37</v>
      </c>
      <c r="J474" t="str">
        <f>IF(ISBLANK(Table1[[#This Row],[Product]]),"Unknown",Table1[[#This Row],[Product]])</f>
        <v>Mouse</v>
      </c>
      <c r="K474" s="3">
        <v>4</v>
      </c>
      <c r="L474" s="10">
        <v>799</v>
      </c>
      <c r="M474" t="s">
        <v>11</v>
      </c>
      <c r="N474" t="str">
        <f>IF(ISBLANK(Table1[[#This Row],[Payment method]]),"Unknown",Table1[[#This Row],[Payment method]])</f>
        <v>Cash on Delivery</v>
      </c>
      <c r="O474" t="s">
        <v>5</v>
      </c>
      <c r="P474" t="str">
        <f>IF(Table1[[#This Row],[Unit price]]&gt;2000,"High Price","Standard Price")</f>
        <v>Standard Price</v>
      </c>
    </row>
    <row r="475" spans="1:16" x14ac:dyDescent="0.3">
      <c r="A475" s="3">
        <v>10474</v>
      </c>
      <c r="B475" s="1">
        <v>45672</v>
      </c>
      <c r="C475" s="3" t="s">
        <v>148</v>
      </c>
      <c r="D475" s="3" t="s">
        <v>43</v>
      </c>
      <c r="E475" t="s">
        <v>247</v>
      </c>
      <c r="F475" t="s">
        <v>36</v>
      </c>
      <c r="G475" t="str">
        <f>IF(ISBLANK(Table1[[#This Row],[State]]),"Unknown",Table1[[#This Row],[State]])</f>
        <v>Maharastra</v>
      </c>
      <c r="H475" t="s">
        <v>2</v>
      </c>
      <c r="I475" t="s">
        <v>24</v>
      </c>
      <c r="J475" t="str">
        <f>IF(ISBLANK(Table1[[#This Row],[Product]]),"Unknown",Table1[[#This Row],[Product]])</f>
        <v>Jeans</v>
      </c>
      <c r="K475" s="3">
        <v>5</v>
      </c>
      <c r="L475" s="10">
        <v>1999</v>
      </c>
      <c r="M475" t="s">
        <v>26</v>
      </c>
      <c r="N475" t="str">
        <f>IF(ISBLANK(Table1[[#This Row],[Payment method]]),"Unknown",Table1[[#This Row],[Payment method]])</f>
        <v>Card</v>
      </c>
      <c r="O475" t="s">
        <v>17</v>
      </c>
      <c r="P475" t="str">
        <f>IF(Table1[[#This Row],[Unit price]]&gt;2000,"High Price","Standard Price")</f>
        <v>Standard Price</v>
      </c>
    </row>
    <row r="476" spans="1:16" x14ac:dyDescent="0.3">
      <c r="A476" s="3">
        <v>10475</v>
      </c>
      <c r="B476" s="1">
        <v>45772</v>
      </c>
      <c r="C476" s="3" t="s">
        <v>163</v>
      </c>
      <c r="D476" s="3" t="s">
        <v>57</v>
      </c>
      <c r="E476" t="s">
        <v>45</v>
      </c>
      <c r="F476" t="s">
        <v>54</v>
      </c>
      <c r="G476" t="str">
        <f>IF(ISBLANK(Table1[[#This Row],[State]]),"Unknown",Table1[[#This Row],[State]])</f>
        <v>Uttar Pradesh</v>
      </c>
      <c r="H476" t="s">
        <v>2</v>
      </c>
      <c r="I476" t="s">
        <v>3</v>
      </c>
      <c r="J476" t="str">
        <f>IF(ISBLANK(Table1[[#This Row],[Product]]),"Unknown",Table1[[#This Row],[Product]])</f>
        <v>T-Shirt</v>
      </c>
      <c r="K476" s="3">
        <v>5</v>
      </c>
      <c r="L476" s="10">
        <v>799</v>
      </c>
      <c r="M476" t="s">
        <v>11</v>
      </c>
      <c r="N476" t="str">
        <f>IF(ISBLANK(Table1[[#This Row],[Payment method]]),"Unknown",Table1[[#This Row],[Payment method]])</f>
        <v>Cash on Delivery</v>
      </c>
      <c r="O476" t="s">
        <v>17</v>
      </c>
      <c r="P476" t="str">
        <f>IF(Table1[[#This Row],[Unit price]]&gt;2000,"High Price","Standard Price")</f>
        <v>Standard Price</v>
      </c>
    </row>
    <row r="477" spans="1:16" x14ac:dyDescent="0.3">
      <c r="A477" s="3">
        <v>10476</v>
      </c>
      <c r="B477" s="1">
        <v>45706</v>
      </c>
      <c r="C477" s="3" t="s">
        <v>174</v>
      </c>
      <c r="D477" s="3" t="s">
        <v>7</v>
      </c>
      <c r="E477" t="s">
        <v>20</v>
      </c>
      <c r="F477" t="s">
        <v>20</v>
      </c>
      <c r="G477" t="str">
        <f>IF(ISBLANK(Table1[[#This Row],[State]]),"Unknown",Table1[[#This Row],[State]])</f>
        <v>Delhi</v>
      </c>
      <c r="H477" t="s">
        <v>2</v>
      </c>
      <c r="I477" t="s">
        <v>3</v>
      </c>
      <c r="J477" t="str">
        <f>IF(ISBLANK(Table1[[#This Row],[Product]]),"Unknown",Table1[[#This Row],[Product]])</f>
        <v>T-Shirt</v>
      </c>
      <c r="K477" s="3">
        <v>2</v>
      </c>
      <c r="L477" s="10">
        <v>799</v>
      </c>
      <c r="N477" t="str">
        <f>IF(ISBLANK(Table1[[#This Row],[Payment method]]),"Unknown",Table1[[#This Row],[Payment method]])</f>
        <v>Unknown</v>
      </c>
      <c r="O477" t="s">
        <v>5</v>
      </c>
      <c r="P477" t="str">
        <f>IF(Table1[[#This Row],[Unit price]]&gt;2000,"High Price","Standard Price")</f>
        <v>Standard Price</v>
      </c>
    </row>
    <row r="478" spans="1:16" x14ac:dyDescent="0.3">
      <c r="A478" s="3">
        <v>10477</v>
      </c>
      <c r="B478" s="1">
        <v>45679</v>
      </c>
      <c r="C478" s="3" t="s">
        <v>171</v>
      </c>
      <c r="D478" s="3" t="s">
        <v>39</v>
      </c>
      <c r="E478" t="s">
        <v>8</v>
      </c>
      <c r="F478" t="s">
        <v>52</v>
      </c>
      <c r="G478" t="str">
        <f>IF(ISBLANK(Table1[[#This Row],[State]]),"Unknown",Table1[[#This Row],[State]])</f>
        <v>Karnataka</v>
      </c>
      <c r="H478" t="s">
        <v>33</v>
      </c>
      <c r="I478" t="s">
        <v>49</v>
      </c>
      <c r="J478" t="str">
        <f>IF(ISBLANK(Table1[[#This Row],[Product]]),"Unknown",Table1[[#This Row],[Product]])</f>
        <v>Keyboard</v>
      </c>
      <c r="K478" s="3">
        <v>2</v>
      </c>
      <c r="L478" s="10">
        <v>499</v>
      </c>
      <c r="M478" t="s">
        <v>26</v>
      </c>
      <c r="N478" t="str">
        <f>IF(ISBLANK(Table1[[#This Row],[Payment method]]),"Unknown",Table1[[#This Row],[Payment method]])</f>
        <v>Card</v>
      </c>
      <c r="O478" t="s">
        <v>12</v>
      </c>
      <c r="P478" t="str">
        <f>IF(Table1[[#This Row],[Unit price]]&gt;2000,"High Price","Standard Price")</f>
        <v>Standard Price</v>
      </c>
    </row>
    <row r="479" spans="1:16" x14ac:dyDescent="0.3">
      <c r="A479" s="3">
        <v>10478</v>
      </c>
      <c r="B479" s="1">
        <v>45824</v>
      </c>
      <c r="C479" s="3" t="s">
        <v>217</v>
      </c>
      <c r="D479" s="3" t="s">
        <v>7</v>
      </c>
      <c r="E479" t="s">
        <v>247</v>
      </c>
      <c r="F479" t="s">
        <v>15</v>
      </c>
      <c r="G479" t="str">
        <f>IF(ISBLANK(Table1[[#This Row],[State]]),"Unknown",Table1[[#This Row],[State]])</f>
        <v>Maharashtra</v>
      </c>
      <c r="H479" t="s">
        <v>9</v>
      </c>
      <c r="I479" t="s">
        <v>10</v>
      </c>
      <c r="J479" t="str">
        <f>IF(ISBLANK(Table1[[#This Row],[Product]]),"Unknown",Table1[[#This Row],[Product]])</f>
        <v>Chair</v>
      </c>
      <c r="K479" s="3">
        <v>5</v>
      </c>
      <c r="L479" s="10">
        <v>1299</v>
      </c>
      <c r="N479" t="str">
        <f>IF(ISBLANK(Table1[[#This Row],[Payment method]]),"Unknown",Table1[[#This Row],[Payment method]])</f>
        <v>Unknown</v>
      </c>
      <c r="O479" t="s">
        <v>17</v>
      </c>
      <c r="P479" t="str">
        <f>IF(Table1[[#This Row],[Unit price]]&gt;2000,"High Price","Standard Price")</f>
        <v>Standard Price</v>
      </c>
    </row>
    <row r="480" spans="1:16" x14ac:dyDescent="0.3">
      <c r="A480" s="3">
        <v>10479</v>
      </c>
      <c r="B480" s="1">
        <v>45834</v>
      </c>
      <c r="C480" s="3" t="s">
        <v>146</v>
      </c>
      <c r="D480" s="3" t="s">
        <v>19</v>
      </c>
      <c r="E480" t="s">
        <v>32</v>
      </c>
      <c r="F480" t="s">
        <v>15</v>
      </c>
      <c r="G480" t="str">
        <f>IF(ISBLANK(Table1[[#This Row],[State]]),"Unknown",Table1[[#This Row],[State]])</f>
        <v>Maharashtra</v>
      </c>
      <c r="H480" t="s">
        <v>9</v>
      </c>
      <c r="I480" t="s">
        <v>16</v>
      </c>
      <c r="J480" t="str">
        <f>IF(ISBLANK(Table1[[#This Row],[Product]]),"Unknown",Table1[[#This Row],[Product]])</f>
        <v>Lamp</v>
      </c>
      <c r="K480" s="3">
        <v>3</v>
      </c>
      <c r="L480" s="10">
        <v>499</v>
      </c>
      <c r="M480" t="s">
        <v>11</v>
      </c>
      <c r="N480" t="str">
        <f>IF(ISBLANK(Table1[[#This Row],[Payment method]]),"Unknown",Table1[[#This Row],[Payment method]])</f>
        <v>Cash on Delivery</v>
      </c>
      <c r="O480" t="s">
        <v>12</v>
      </c>
      <c r="P480" t="str">
        <f>IF(Table1[[#This Row],[Unit price]]&gt;2000,"High Price","Standard Price")</f>
        <v>Standard Price</v>
      </c>
    </row>
    <row r="481" spans="1:16" x14ac:dyDescent="0.3">
      <c r="A481" s="3">
        <v>10480</v>
      </c>
      <c r="B481" s="1">
        <v>45730</v>
      </c>
      <c r="C481" s="3" t="s">
        <v>124</v>
      </c>
      <c r="D481" s="3" t="s">
        <v>19</v>
      </c>
      <c r="E481" t="s">
        <v>8</v>
      </c>
      <c r="F481" t="s">
        <v>52</v>
      </c>
      <c r="G481" t="str">
        <f>IF(ISBLANK(Table1[[#This Row],[State]]),"Unknown",Table1[[#This Row],[State]])</f>
        <v>Karnataka</v>
      </c>
      <c r="H481" t="s">
        <v>33</v>
      </c>
      <c r="I481" t="s">
        <v>37</v>
      </c>
      <c r="J481" t="str">
        <f>IF(ISBLANK(Table1[[#This Row],[Product]]),"Unknown",Table1[[#This Row],[Product]])</f>
        <v>Mouse</v>
      </c>
      <c r="K481" s="3">
        <v>2</v>
      </c>
      <c r="L481" s="10">
        <v>1999</v>
      </c>
      <c r="N481" t="str">
        <f>IF(ISBLANK(Table1[[#This Row],[Payment method]]),"Unknown",Table1[[#This Row],[Payment method]])</f>
        <v>Unknown</v>
      </c>
      <c r="O481" t="s">
        <v>12</v>
      </c>
      <c r="P481" t="str">
        <f>IF(Table1[[#This Row],[Unit price]]&gt;2000,"High Price","Standard Price")</f>
        <v>Standard Price</v>
      </c>
    </row>
    <row r="482" spans="1:16" x14ac:dyDescent="0.3">
      <c r="A482" s="3">
        <v>10481</v>
      </c>
      <c r="B482" s="1">
        <v>45686</v>
      </c>
      <c r="C482" s="3" t="s">
        <v>77</v>
      </c>
      <c r="D482" s="3" t="s">
        <v>43</v>
      </c>
      <c r="E482" t="s">
        <v>20</v>
      </c>
      <c r="F482" t="s">
        <v>20</v>
      </c>
      <c r="G482" t="str">
        <f>IF(ISBLANK(Table1[[#This Row],[State]]),"Unknown",Table1[[#This Row],[State]])</f>
        <v>Delhi</v>
      </c>
      <c r="H482" t="s">
        <v>2</v>
      </c>
      <c r="I482" t="s">
        <v>3</v>
      </c>
      <c r="J482" t="str">
        <f>IF(ISBLANK(Table1[[#This Row],[Product]]),"Unknown",Table1[[#This Row],[Product]])</f>
        <v>T-Shirt</v>
      </c>
      <c r="K482" s="3">
        <v>5</v>
      </c>
      <c r="L482" s="10">
        <v>499</v>
      </c>
      <c r="N482" t="str">
        <f>IF(ISBLANK(Table1[[#This Row],[Payment method]]),"Unknown",Table1[[#This Row],[Payment method]])</f>
        <v>Unknown</v>
      </c>
      <c r="O482" t="s">
        <v>12</v>
      </c>
      <c r="P482" t="str">
        <f>IF(Table1[[#This Row],[Unit price]]&gt;2000,"High Price","Standard Price")</f>
        <v>Standard Price</v>
      </c>
    </row>
    <row r="483" spans="1:16" x14ac:dyDescent="0.3">
      <c r="A483" s="3">
        <v>10482</v>
      </c>
      <c r="B483" s="1">
        <v>45699</v>
      </c>
      <c r="C483" s="3" t="s">
        <v>171</v>
      </c>
      <c r="D483" s="3" t="s">
        <v>1</v>
      </c>
      <c r="E483" t="s">
        <v>45</v>
      </c>
      <c r="F483" t="s">
        <v>54</v>
      </c>
      <c r="G483" t="str">
        <f>IF(ISBLANK(Table1[[#This Row],[State]]),"Unknown",Table1[[#This Row],[State]])</f>
        <v>Uttar Pradesh</v>
      </c>
      <c r="H483" t="s">
        <v>9</v>
      </c>
      <c r="I483" t="s">
        <v>16</v>
      </c>
      <c r="J483" t="str">
        <f>IF(ISBLANK(Table1[[#This Row],[Product]]),"Unknown",Table1[[#This Row],[Product]])</f>
        <v>Lamp</v>
      </c>
      <c r="K483" s="3">
        <v>3</v>
      </c>
      <c r="L483" s="10">
        <v>1999</v>
      </c>
      <c r="M483" t="s">
        <v>26</v>
      </c>
      <c r="N483" t="str">
        <f>IF(ISBLANK(Table1[[#This Row],[Payment method]]),"Unknown",Table1[[#This Row],[Payment method]])</f>
        <v>Card</v>
      </c>
      <c r="O483" t="s">
        <v>12</v>
      </c>
      <c r="P483" t="str">
        <f>IF(Table1[[#This Row],[Unit price]]&gt;2000,"High Price","Standard Price")</f>
        <v>Standard Price</v>
      </c>
    </row>
    <row r="484" spans="1:16" x14ac:dyDescent="0.3">
      <c r="A484" s="3">
        <v>10483</v>
      </c>
      <c r="B484" s="1">
        <v>45726</v>
      </c>
      <c r="C484" s="3" t="s">
        <v>176</v>
      </c>
      <c r="D484" s="3" t="s">
        <v>1</v>
      </c>
      <c r="E484" t="s">
        <v>45</v>
      </c>
      <c r="F484" t="s">
        <v>54</v>
      </c>
      <c r="G484" t="str">
        <f>IF(ISBLANK(Table1[[#This Row],[State]]),"Unknown",Table1[[#This Row],[State]])</f>
        <v>Uttar Pradesh</v>
      </c>
      <c r="H484" t="s">
        <v>2</v>
      </c>
      <c r="I484" t="s">
        <v>3</v>
      </c>
      <c r="J484" t="str">
        <f>IF(ISBLANK(Table1[[#This Row],[Product]]),"Unknown",Table1[[#This Row],[Product]])</f>
        <v>T-Shirt</v>
      </c>
      <c r="K484" s="3">
        <v>3</v>
      </c>
      <c r="L484" s="10">
        <v>1999</v>
      </c>
      <c r="N484" t="str">
        <f>IF(ISBLANK(Table1[[#This Row],[Payment method]]),"Unknown",Table1[[#This Row],[Payment method]])</f>
        <v>Unknown</v>
      </c>
      <c r="O484" t="s">
        <v>17</v>
      </c>
      <c r="P484" t="str">
        <f>IF(Table1[[#This Row],[Unit price]]&gt;2000,"High Price","Standard Price")</f>
        <v>Standard Price</v>
      </c>
    </row>
    <row r="485" spans="1:16" x14ac:dyDescent="0.3">
      <c r="A485" s="3">
        <v>10484</v>
      </c>
      <c r="B485" s="1">
        <v>45813</v>
      </c>
      <c r="C485" s="3" t="s">
        <v>157</v>
      </c>
      <c r="D485" s="3" t="s">
        <v>1</v>
      </c>
      <c r="E485" t="s">
        <v>8</v>
      </c>
      <c r="F485" t="s">
        <v>52</v>
      </c>
      <c r="G485" t="str">
        <f>IF(ISBLANK(Table1[[#This Row],[State]]),"Unknown",Table1[[#This Row],[State]])</f>
        <v>Karnataka</v>
      </c>
      <c r="H485" t="s">
        <v>9</v>
      </c>
      <c r="I485" t="s">
        <v>16</v>
      </c>
      <c r="J485" t="str">
        <f>IF(ISBLANK(Table1[[#This Row],[Product]]),"Unknown",Table1[[#This Row],[Product]])</f>
        <v>Lamp</v>
      </c>
      <c r="K485" s="3">
        <v>4</v>
      </c>
      <c r="L485" s="10">
        <v>299</v>
      </c>
      <c r="N485" t="str">
        <f>IF(ISBLANK(Table1[[#This Row],[Payment method]]),"Unknown",Table1[[#This Row],[Payment method]])</f>
        <v>Unknown</v>
      </c>
      <c r="O485" t="s">
        <v>58</v>
      </c>
      <c r="P485" t="str">
        <f>IF(Table1[[#This Row],[Unit price]]&gt;2000,"High Price","Standard Price")</f>
        <v>Standard Price</v>
      </c>
    </row>
    <row r="486" spans="1:16" x14ac:dyDescent="0.3">
      <c r="A486" s="3">
        <v>10485</v>
      </c>
      <c r="B486" s="1">
        <v>45780</v>
      </c>
      <c r="C486" s="3" t="s">
        <v>197</v>
      </c>
      <c r="D486" s="3" t="s">
        <v>7</v>
      </c>
      <c r="E486" t="s">
        <v>45</v>
      </c>
      <c r="F486" t="s">
        <v>54</v>
      </c>
      <c r="G486" t="str">
        <f>IF(ISBLANK(Table1[[#This Row],[State]]),"Unknown",Table1[[#This Row],[State]])</f>
        <v>Uttar Pradesh</v>
      </c>
      <c r="H486" t="s">
        <v>33</v>
      </c>
      <c r="I486" t="s">
        <v>37</v>
      </c>
      <c r="J486" t="str">
        <f>IF(ISBLANK(Table1[[#This Row],[Product]]),"Unknown",Table1[[#This Row],[Product]])</f>
        <v>Mouse</v>
      </c>
      <c r="K486" s="3">
        <v>1</v>
      </c>
      <c r="L486" s="10">
        <v>799</v>
      </c>
      <c r="M486" t="s">
        <v>11</v>
      </c>
      <c r="N486" t="str">
        <f>IF(ISBLANK(Table1[[#This Row],[Payment method]]),"Unknown",Table1[[#This Row],[Payment method]])</f>
        <v>Cash on Delivery</v>
      </c>
      <c r="O486" t="s">
        <v>58</v>
      </c>
      <c r="P486" t="str">
        <f>IF(Table1[[#This Row],[Unit price]]&gt;2000,"High Price","Standard Price")</f>
        <v>Standard Price</v>
      </c>
    </row>
    <row r="487" spans="1:16" x14ac:dyDescent="0.3">
      <c r="A487" s="3">
        <v>10486</v>
      </c>
      <c r="B487" s="1">
        <v>45761</v>
      </c>
      <c r="C487" s="3" t="s">
        <v>28</v>
      </c>
      <c r="D487" s="3" t="s">
        <v>23</v>
      </c>
      <c r="E487" t="s">
        <v>249</v>
      </c>
      <c r="F487" t="s">
        <v>36</v>
      </c>
      <c r="G487" t="str">
        <f>IF(ISBLANK(Table1[[#This Row],[State]]),"Unknown",Table1[[#This Row],[State]])</f>
        <v>Maharastra</v>
      </c>
      <c r="H487" t="s">
        <v>2</v>
      </c>
      <c r="I487" t="s">
        <v>24</v>
      </c>
      <c r="J487" t="str">
        <f>IF(ISBLANK(Table1[[#This Row],[Product]]),"Unknown",Table1[[#This Row],[Product]])</f>
        <v>Jeans</v>
      </c>
      <c r="K487" s="3">
        <v>2</v>
      </c>
      <c r="L487" s="10">
        <v>1299</v>
      </c>
      <c r="N487" t="str">
        <f>IF(ISBLANK(Table1[[#This Row],[Payment method]]),"Unknown",Table1[[#This Row],[Payment method]])</f>
        <v>Unknown</v>
      </c>
      <c r="O487" t="s">
        <v>17</v>
      </c>
      <c r="P487" t="str">
        <f>IF(Table1[[#This Row],[Unit price]]&gt;2000,"High Price","Standard Price")</f>
        <v>Standard Price</v>
      </c>
    </row>
    <row r="488" spans="1:16" x14ac:dyDescent="0.3">
      <c r="A488" s="3">
        <v>10487</v>
      </c>
      <c r="B488" s="1">
        <v>45745</v>
      </c>
      <c r="C488" s="3" t="s">
        <v>76</v>
      </c>
      <c r="D488" s="3" t="s">
        <v>43</v>
      </c>
      <c r="E488" t="s">
        <v>247</v>
      </c>
      <c r="F488" t="s">
        <v>36</v>
      </c>
      <c r="G488" t="str">
        <f>IF(ISBLANK(Table1[[#This Row],[State]]),"Unknown",Table1[[#This Row],[State]])</f>
        <v>Maharastra</v>
      </c>
      <c r="H488" t="s">
        <v>9</v>
      </c>
      <c r="I488" t="s">
        <v>10</v>
      </c>
      <c r="J488" t="str">
        <f>IF(ISBLANK(Table1[[#This Row],[Product]]),"Unknown",Table1[[#This Row],[Product]])</f>
        <v>Chair</v>
      </c>
      <c r="K488" s="3">
        <v>4</v>
      </c>
      <c r="L488" s="10">
        <v>1999</v>
      </c>
      <c r="N488" t="str">
        <f>IF(ISBLANK(Table1[[#This Row],[Payment method]]),"Unknown",Table1[[#This Row],[Payment method]])</f>
        <v>Unknown</v>
      </c>
      <c r="O488" t="s">
        <v>12</v>
      </c>
      <c r="P488" t="str">
        <f>IF(Table1[[#This Row],[Unit price]]&gt;2000,"High Price","Standard Price")</f>
        <v>Standard Price</v>
      </c>
    </row>
    <row r="489" spans="1:16" x14ac:dyDescent="0.3">
      <c r="A489" s="3">
        <v>10488</v>
      </c>
      <c r="B489" s="1">
        <v>45795</v>
      </c>
      <c r="C489" s="3" t="s">
        <v>96</v>
      </c>
      <c r="D489" s="3" t="s">
        <v>7</v>
      </c>
      <c r="E489" t="s">
        <v>248</v>
      </c>
      <c r="F489" t="s">
        <v>52</v>
      </c>
      <c r="G489" t="str">
        <f>IF(ISBLANK(Table1[[#This Row],[State]]),"Unknown",Table1[[#This Row],[State]])</f>
        <v>Karnataka</v>
      </c>
      <c r="H489" t="s">
        <v>9</v>
      </c>
      <c r="I489" t="s">
        <v>10</v>
      </c>
      <c r="J489" t="str">
        <f>IF(ISBLANK(Table1[[#This Row],[Product]]),"Unknown",Table1[[#This Row],[Product]])</f>
        <v>Chair</v>
      </c>
      <c r="K489" s="3">
        <v>4</v>
      </c>
      <c r="L489" s="10">
        <v>299</v>
      </c>
      <c r="M489" t="s">
        <v>11</v>
      </c>
      <c r="N489" t="str">
        <f>IF(ISBLANK(Table1[[#This Row],[Payment method]]),"Unknown",Table1[[#This Row],[Payment method]])</f>
        <v>Cash on Delivery</v>
      </c>
      <c r="O489" t="s">
        <v>5</v>
      </c>
      <c r="P489" t="str">
        <f>IF(Table1[[#This Row],[Unit price]]&gt;2000,"High Price","Standard Price")</f>
        <v>Standard Price</v>
      </c>
    </row>
    <row r="490" spans="1:16" x14ac:dyDescent="0.3">
      <c r="A490" s="3">
        <v>10489</v>
      </c>
      <c r="B490" s="1">
        <v>45708</v>
      </c>
      <c r="C490" s="3" t="s">
        <v>188</v>
      </c>
      <c r="D490" s="3" t="s">
        <v>19</v>
      </c>
      <c r="E490" t="s">
        <v>35</v>
      </c>
      <c r="F490" t="s">
        <v>36</v>
      </c>
      <c r="G490" t="str">
        <f>IF(ISBLANK(Table1[[#This Row],[State]]),"Unknown",Table1[[#This Row],[State]])</f>
        <v>Maharastra</v>
      </c>
      <c r="H490" t="s">
        <v>9</v>
      </c>
      <c r="J490" t="str">
        <f>IF(ISBLANK(Table1[[#This Row],[Product]]),"Unknown",Table1[[#This Row],[Product]])</f>
        <v>Unknown</v>
      </c>
      <c r="K490" s="3">
        <v>4</v>
      </c>
      <c r="L490" s="10">
        <v>1999</v>
      </c>
      <c r="M490" t="s">
        <v>11</v>
      </c>
      <c r="N490" t="str">
        <f>IF(ISBLANK(Table1[[#This Row],[Payment method]]),"Unknown",Table1[[#This Row],[Payment method]])</f>
        <v>Cash on Delivery</v>
      </c>
      <c r="O490" t="s">
        <v>17</v>
      </c>
      <c r="P490" t="str">
        <f>IF(Table1[[#This Row],[Unit price]]&gt;2000,"High Price","Standard Price")</f>
        <v>Standard Price</v>
      </c>
    </row>
    <row r="491" spans="1:16" x14ac:dyDescent="0.3">
      <c r="A491" s="3">
        <v>10490</v>
      </c>
      <c r="B491" s="1">
        <v>45680</v>
      </c>
      <c r="C491" s="3" t="s">
        <v>202</v>
      </c>
      <c r="D491" s="3" t="s">
        <v>1</v>
      </c>
      <c r="E491" t="s">
        <v>32</v>
      </c>
      <c r="F491" t="s">
        <v>15</v>
      </c>
      <c r="G491" t="str">
        <f>IF(ISBLANK(Table1[[#This Row],[State]]),"Unknown",Table1[[#This Row],[State]])</f>
        <v>Maharashtra</v>
      </c>
      <c r="H491" t="s">
        <v>2</v>
      </c>
      <c r="I491" t="s">
        <v>3</v>
      </c>
      <c r="J491" t="str">
        <f>IF(ISBLANK(Table1[[#This Row],[Product]]),"Unknown",Table1[[#This Row],[Product]])</f>
        <v>T-Shirt</v>
      </c>
      <c r="K491" s="3">
        <v>3</v>
      </c>
      <c r="L491" s="10">
        <v>499</v>
      </c>
      <c r="N491" t="str">
        <f>IF(ISBLANK(Table1[[#This Row],[Payment method]]),"Unknown",Table1[[#This Row],[Payment method]])</f>
        <v>Unknown</v>
      </c>
      <c r="O491" t="s">
        <v>12</v>
      </c>
      <c r="P491" t="str">
        <f>IF(Table1[[#This Row],[Unit price]]&gt;2000,"High Price","Standard Price")</f>
        <v>Standard Price</v>
      </c>
    </row>
    <row r="492" spans="1:16" x14ac:dyDescent="0.3">
      <c r="A492" s="3">
        <v>10491</v>
      </c>
      <c r="B492" s="1">
        <v>45816</v>
      </c>
      <c r="C492" s="3" t="s">
        <v>150</v>
      </c>
      <c r="D492" s="3" t="s">
        <v>57</v>
      </c>
      <c r="E492" t="s">
        <v>248</v>
      </c>
      <c r="F492" t="s">
        <v>52</v>
      </c>
      <c r="G492" t="str">
        <f>IF(ISBLANK(Table1[[#This Row],[State]]),"Unknown",Table1[[#This Row],[State]])</f>
        <v>Karnataka</v>
      </c>
      <c r="H492" t="s">
        <v>9</v>
      </c>
      <c r="I492" t="s">
        <v>10</v>
      </c>
      <c r="J492" t="str">
        <f>IF(ISBLANK(Table1[[#This Row],[Product]]),"Unknown",Table1[[#This Row],[Product]])</f>
        <v>Chair</v>
      </c>
      <c r="K492" s="3">
        <v>3</v>
      </c>
      <c r="L492" s="10">
        <v>1299</v>
      </c>
      <c r="M492" t="s">
        <v>4</v>
      </c>
      <c r="N492" t="str">
        <f>IF(ISBLANK(Table1[[#This Row],[Payment method]]),"Unknown",Table1[[#This Row],[Payment method]])</f>
        <v>Net Banking</v>
      </c>
      <c r="O492" t="s">
        <v>17</v>
      </c>
      <c r="P492" t="str">
        <f>IF(Table1[[#This Row],[Unit price]]&gt;2000,"High Price","Standard Price")</f>
        <v>Standard Price</v>
      </c>
    </row>
    <row r="493" spans="1:16" x14ac:dyDescent="0.3">
      <c r="A493" s="3">
        <v>10492</v>
      </c>
      <c r="B493" s="1">
        <v>45679</v>
      </c>
      <c r="C493" s="3" t="s">
        <v>218</v>
      </c>
      <c r="D493" s="3" t="s">
        <v>7</v>
      </c>
      <c r="E493" t="s">
        <v>45</v>
      </c>
      <c r="F493" t="s">
        <v>54</v>
      </c>
      <c r="G493" t="str">
        <f>IF(ISBLANK(Table1[[#This Row],[State]]),"Unknown",Table1[[#This Row],[State]])</f>
        <v>Uttar Pradesh</v>
      </c>
      <c r="H493" t="s">
        <v>2</v>
      </c>
      <c r="I493" t="s">
        <v>24</v>
      </c>
      <c r="J493" t="str">
        <f>IF(ISBLANK(Table1[[#This Row],[Product]]),"Unknown",Table1[[#This Row],[Product]])</f>
        <v>Jeans</v>
      </c>
      <c r="K493" s="3">
        <v>2</v>
      </c>
      <c r="L493" s="10">
        <v>1999</v>
      </c>
      <c r="N493" t="str">
        <f>IF(ISBLANK(Table1[[#This Row],[Payment method]]),"Unknown",Table1[[#This Row],[Payment method]])</f>
        <v>Unknown</v>
      </c>
      <c r="O493" t="s">
        <v>5</v>
      </c>
      <c r="P493" t="str">
        <f>IF(Table1[[#This Row],[Unit price]]&gt;2000,"High Price","Standard Price")</f>
        <v>Standard Price</v>
      </c>
    </row>
    <row r="494" spans="1:16" x14ac:dyDescent="0.3">
      <c r="A494" s="3">
        <v>10493</v>
      </c>
      <c r="B494" s="1">
        <v>45837</v>
      </c>
      <c r="C494" s="3" t="s">
        <v>124</v>
      </c>
      <c r="D494" s="3" t="s">
        <v>43</v>
      </c>
      <c r="E494" t="s">
        <v>248</v>
      </c>
      <c r="F494" t="s">
        <v>52</v>
      </c>
      <c r="G494" t="str">
        <f>IF(ISBLANK(Table1[[#This Row],[State]]),"Unknown",Table1[[#This Row],[State]])</f>
        <v>Karnataka</v>
      </c>
      <c r="H494" t="s">
        <v>33</v>
      </c>
      <c r="I494" t="s">
        <v>49</v>
      </c>
      <c r="J494" t="str">
        <f>IF(ISBLANK(Table1[[#This Row],[Product]]),"Unknown",Table1[[#This Row],[Product]])</f>
        <v>Keyboard</v>
      </c>
      <c r="K494" s="3">
        <v>2</v>
      </c>
      <c r="L494" s="10">
        <v>1999</v>
      </c>
      <c r="N494" t="str">
        <f>IF(ISBLANK(Table1[[#This Row],[Payment method]]),"Unknown",Table1[[#This Row],[Payment method]])</f>
        <v>Unknown</v>
      </c>
      <c r="O494" t="s">
        <v>5</v>
      </c>
      <c r="P494" t="str">
        <f>IF(Table1[[#This Row],[Unit price]]&gt;2000,"High Price","Standard Price")</f>
        <v>Standard Price</v>
      </c>
    </row>
    <row r="495" spans="1:16" x14ac:dyDescent="0.3">
      <c r="A495" s="3">
        <v>10494</v>
      </c>
      <c r="B495" s="1">
        <v>45691</v>
      </c>
      <c r="C495" s="3" t="s">
        <v>206</v>
      </c>
      <c r="D495" s="3" t="s">
        <v>14</v>
      </c>
      <c r="E495" t="s">
        <v>35</v>
      </c>
      <c r="F495" t="s">
        <v>15</v>
      </c>
      <c r="G495" t="str">
        <f>IF(ISBLANK(Table1[[#This Row],[State]]),"Unknown",Table1[[#This Row],[State]])</f>
        <v>Maharashtra</v>
      </c>
      <c r="H495" t="s">
        <v>2</v>
      </c>
      <c r="I495" t="s">
        <v>3</v>
      </c>
      <c r="J495" t="str">
        <f>IF(ISBLANK(Table1[[#This Row],[Product]]),"Unknown",Table1[[#This Row],[Product]])</f>
        <v>T-Shirt</v>
      </c>
      <c r="K495" s="3">
        <v>5</v>
      </c>
      <c r="L495" s="10">
        <v>1299</v>
      </c>
      <c r="N495" t="str">
        <f>IF(ISBLANK(Table1[[#This Row],[Payment method]]),"Unknown",Table1[[#This Row],[Payment method]])</f>
        <v>Unknown</v>
      </c>
      <c r="O495" t="s">
        <v>17</v>
      </c>
      <c r="P495" t="str">
        <f>IF(Table1[[#This Row],[Unit price]]&gt;2000,"High Price","Standard Price")</f>
        <v>Standard Price</v>
      </c>
    </row>
    <row r="496" spans="1:16" x14ac:dyDescent="0.3">
      <c r="A496" s="3">
        <v>10495</v>
      </c>
      <c r="B496" s="1">
        <v>45836</v>
      </c>
      <c r="C496" s="3" t="s">
        <v>135</v>
      </c>
      <c r="D496" s="3" t="s">
        <v>57</v>
      </c>
      <c r="E496" t="s">
        <v>45</v>
      </c>
      <c r="F496" t="s">
        <v>54</v>
      </c>
      <c r="G496" t="str">
        <f>IF(ISBLANK(Table1[[#This Row],[State]]),"Unknown",Table1[[#This Row],[State]])</f>
        <v>Uttar Pradesh</v>
      </c>
      <c r="H496" t="s">
        <v>2</v>
      </c>
      <c r="I496" t="s">
        <v>3</v>
      </c>
      <c r="J496" t="str">
        <f>IF(ISBLANK(Table1[[#This Row],[Product]]),"Unknown",Table1[[#This Row],[Product]])</f>
        <v>T-Shirt</v>
      </c>
      <c r="K496" s="3">
        <v>3</v>
      </c>
      <c r="L496" s="10">
        <v>299</v>
      </c>
      <c r="N496" t="str">
        <f>IF(ISBLANK(Table1[[#This Row],[Payment method]]),"Unknown",Table1[[#This Row],[Payment method]])</f>
        <v>Unknown</v>
      </c>
      <c r="O496" t="s">
        <v>5</v>
      </c>
      <c r="P496" t="str">
        <f>IF(Table1[[#This Row],[Unit price]]&gt;2000,"High Price","Standard Price")</f>
        <v>Standard Price</v>
      </c>
    </row>
    <row r="497" spans="1:16" x14ac:dyDescent="0.3">
      <c r="A497" s="3">
        <v>10496</v>
      </c>
      <c r="B497" s="1">
        <v>45747</v>
      </c>
      <c r="C497" s="3" t="s">
        <v>133</v>
      </c>
      <c r="D497" s="3" t="s">
        <v>39</v>
      </c>
      <c r="E497" t="s">
        <v>45</v>
      </c>
      <c r="F497" t="s">
        <v>54</v>
      </c>
      <c r="G497" t="str">
        <f>IF(ISBLANK(Table1[[#This Row],[State]]),"Unknown",Table1[[#This Row],[State]])</f>
        <v>Uttar Pradesh</v>
      </c>
      <c r="H497" t="s">
        <v>9</v>
      </c>
      <c r="I497" t="s">
        <v>16</v>
      </c>
      <c r="J497" t="str">
        <f>IF(ISBLANK(Table1[[#This Row],[Product]]),"Unknown",Table1[[#This Row],[Product]])</f>
        <v>Lamp</v>
      </c>
      <c r="K497" s="3">
        <v>2</v>
      </c>
      <c r="L497" s="10">
        <v>1999</v>
      </c>
      <c r="M497" t="s">
        <v>4</v>
      </c>
      <c r="N497" t="str">
        <f>IF(ISBLANK(Table1[[#This Row],[Payment method]]),"Unknown",Table1[[#This Row],[Payment method]])</f>
        <v>Net Banking</v>
      </c>
      <c r="O497" t="s">
        <v>17</v>
      </c>
      <c r="P497" t="str">
        <f>IF(Table1[[#This Row],[Unit price]]&gt;2000,"High Price","Standard Price")</f>
        <v>Standard Price</v>
      </c>
    </row>
    <row r="498" spans="1:16" x14ac:dyDescent="0.3">
      <c r="A498" s="3">
        <v>10497</v>
      </c>
      <c r="B498" s="1">
        <v>45771</v>
      </c>
      <c r="C498" s="3" t="s">
        <v>50</v>
      </c>
      <c r="D498" s="3" t="s">
        <v>19</v>
      </c>
      <c r="E498" t="s">
        <v>247</v>
      </c>
      <c r="F498" t="s">
        <v>15</v>
      </c>
      <c r="G498" t="str">
        <f>IF(ISBLANK(Table1[[#This Row],[State]]),"Unknown",Table1[[#This Row],[State]])</f>
        <v>Maharashtra</v>
      </c>
      <c r="H498" t="s">
        <v>2</v>
      </c>
      <c r="I498" t="s">
        <v>3</v>
      </c>
      <c r="J498" t="str">
        <f>IF(ISBLANK(Table1[[#This Row],[Product]]),"Unknown",Table1[[#This Row],[Product]])</f>
        <v>T-Shirt</v>
      </c>
      <c r="K498" s="3">
        <v>3</v>
      </c>
      <c r="L498" s="10">
        <v>799</v>
      </c>
      <c r="N498" t="str">
        <f>IF(ISBLANK(Table1[[#This Row],[Payment method]]),"Unknown",Table1[[#This Row],[Payment method]])</f>
        <v>Unknown</v>
      </c>
      <c r="O498" t="s">
        <v>12</v>
      </c>
      <c r="P498" t="str">
        <f>IF(Table1[[#This Row],[Unit price]]&gt;2000,"High Price","Standard Price")</f>
        <v>Standard Price</v>
      </c>
    </row>
    <row r="499" spans="1:16" x14ac:dyDescent="0.3">
      <c r="A499" s="3">
        <v>10498</v>
      </c>
      <c r="B499" s="1">
        <v>45674</v>
      </c>
      <c r="C499" s="3" t="s">
        <v>127</v>
      </c>
      <c r="D499" s="3" t="s">
        <v>39</v>
      </c>
      <c r="E499" t="s">
        <v>45</v>
      </c>
      <c r="F499" t="s">
        <v>54</v>
      </c>
      <c r="G499" t="str">
        <f>IF(ISBLANK(Table1[[#This Row],[State]]),"Unknown",Table1[[#This Row],[State]])</f>
        <v>Uttar Pradesh</v>
      </c>
      <c r="H499" t="s">
        <v>33</v>
      </c>
      <c r="I499" t="s">
        <v>37</v>
      </c>
      <c r="J499" t="str">
        <f>IF(ISBLANK(Table1[[#This Row],[Product]]),"Unknown",Table1[[#This Row],[Product]])</f>
        <v>Mouse</v>
      </c>
      <c r="K499" s="3">
        <v>4</v>
      </c>
      <c r="L499" s="10">
        <v>299</v>
      </c>
      <c r="M499" t="s">
        <v>4</v>
      </c>
      <c r="N499" t="str">
        <f>IF(ISBLANK(Table1[[#This Row],[Payment method]]),"Unknown",Table1[[#This Row],[Payment method]])</f>
        <v>Net Banking</v>
      </c>
      <c r="O499" t="s">
        <v>5</v>
      </c>
      <c r="P499" t="str">
        <f>IF(Table1[[#This Row],[Unit price]]&gt;2000,"High Price","Standard Price")</f>
        <v>Standard Price</v>
      </c>
    </row>
    <row r="500" spans="1:16" x14ac:dyDescent="0.3">
      <c r="A500" s="3">
        <v>10499</v>
      </c>
      <c r="B500" s="1">
        <v>45677</v>
      </c>
      <c r="C500" s="3" t="s">
        <v>131</v>
      </c>
      <c r="D500" s="3" t="s">
        <v>43</v>
      </c>
      <c r="E500" t="s">
        <v>20</v>
      </c>
      <c r="F500" t="s">
        <v>20</v>
      </c>
      <c r="G500" t="str">
        <f>IF(ISBLANK(Table1[[#This Row],[State]]),"Unknown",Table1[[#This Row],[State]])</f>
        <v>Delhi</v>
      </c>
      <c r="H500" t="s">
        <v>9</v>
      </c>
      <c r="I500" t="s">
        <v>16</v>
      </c>
      <c r="J500" t="str">
        <f>IF(ISBLANK(Table1[[#This Row],[Product]]),"Unknown",Table1[[#This Row],[Product]])</f>
        <v>Lamp</v>
      </c>
      <c r="K500" s="3">
        <v>5</v>
      </c>
      <c r="L500" s="10">
        <v>1299</v>
      </c>
      <c r="M500" t="s">
        <v>26</v>
      </c>
      <c r="N500" t="str">
        <f>IF(ISBLANK(Table1[[#This Row],[Payment method]]),"Unknown",Table1[[#This Row],[Payment method]])</f>
        <v>Card</v>
      </c>
      <c r="O500" t="s">
        <v>5</v>
      </c>
      <c r="P500" t="str">
        <f>IF(Table1[[#This Row],[Unit price]]&gt;2000,"High Price","Standard Price")</f>
        <v>Standard Price</v>
      </c>
    </row>
    <row r="501" spans="1:16" x14ac:dyDescent="0.3">
      <c r="A501" s="3">
        <v>10500</v>
      </c>
      <c r="B501" s="1">
        <v>45781</v>
      </c>
      <c r="C501" s="3" t="s">
        <v>83</v>
      </c>
      <c r="D501" s="3" t="s">
        <v>39</v>
      </c>
      <c r="E501" t="s">
        <v>45</v>
      </c>
      <c r="F501" t="s">
        <v>54</v>
      </c>
      <c r="G501" t="str">
        <f>IF(ISBLANK(Table1[[#This Row],[State]]),"Unknown",Table1[[#This Row],[State]])</f>
        <v>Uttar Pradesh</v>
      </c>
      <c r="H501" t="s">
        <v>2</v>
      </c>
      <c r="I501" t="s">
        <v>24</v>
      </c>
      <c r="J501" t="str">
        <f>IF(ISBLANK(Table1[[#This Row],[Product]]),"Unknown",Table1[[#This Row],[Product]])</f>
        <v>Jeans</v>
      </c>
      <c r="K501" s="3">
        <v>4</v>
      </c>
      <c r="L501" s="10">
        <v>799</v>
      </c>
      <c r="N501" t="str">
        <f>IF(ISBLANK(Table1[[#This Row],[Payment method]]),"Unknown",Table1[[#This Row],[Payment method]])</f>
        <v>Unknown</v>
      </c>
      <c r="O501" t="s">
        <v>12</v>
      </c>
      <c r="P501" t="str">
        <f>IF(Table1[[#This Row],[Unit price]]&gt;2000,"High Price","Standard Price")</f>
        <v>Standard Price</v>
      </c>
    </row>
    <row r="502" spans="1:16" x14ac:dyDescent="0.3">
      <c r="A502" s="3">
        <v>10501</v>
      </c>
      <c r="B502" s="1">
        <v>45799</v>
      </c>
      <c r="C502" s="3" t="s">
        <v>71</v>
      </c>
      <c r="D502" s="3" t="s">
        <v>43</v>
      </c>
      <c r="E502" t="s">
        <v>248</v>
      </c>
      <c r="F502" t="s">
        <v>52</v>
      </c>
      <c r="G502" t="str">
        <f>IF(ISBLANK(Table1[[#This Row],[State]]),"Unknown",Table1[[#This Row],[State]])</f>
        <v>Karnataka</v>
      </c>
      <c r="H502" t="s">
        <v>2</v>
      </c>
      <c r="I502" t="s">
        <v>24</v>
      </c>
      <c r="J502" t="str">
        <f>IF(ISBLANK(Table1[[#This Row],[Product]]),"Unknown",Table1[[#This Row],[Product]])</f>
        <v>Jeans</v>
      </c>
      <c r="K502" s="3">
        <v>2</v>
      </c>
      <c r="L502" s="10">
        <v>1999</v>
      </c>
      <c r="N502" t="str">
        <f>IF(ISBLANK(Table1[[#This Row],[Payment method]]),"Unknown",Table1[[#This Row],[Payment method]])</f>
        <v>Unknown</v>
      </c>
      <c r="O502" t="s">
        <v>12</v>
      </c>
      <c r="P502" t="str">
        <f>IF(Table1[[#This Row],[Unit price]]&gt;2000,"High Price","Standard Price")</f>
        <v>Standard Price</v>
      </c>
    </row>
    <row r="503" spans="1:16" x14ac:dyDescent="0.3">
      <c r="A503" s="3">
        <v>10502</v>
      </c>
      <c r="B503" s="1">
        <v>45903</v>
      </c>
      <c r="C503" s="3" t="s">
        <v>158</v>
      </c>
      <c r="D503" s="3" t="s">
        <v>7</v>
      </c>
      <c r="E503" t="s">
        <v>45</v>
      </c>
      <c r="F503" t="s">
        <v>54</v>
      </c>
      <c r="G503" t="str">
        <f>IF(ISBLANK(Table1[[#This Row],[State]]),"Unknown",Table1[[#This Row],[State]])</f>
        <v>Uttar Pradesh</v>
      </c>
      <c r="H503" t="s">
        <v>2</v>
      </c>
      <c r="I503" t="s">
        <v>3</v>
      </c>
      <c r="J503" t="str">
        <f>IF(ISBLANK(Table1[[#This Row],[Product]]),"Unknown",Table1[[#This Row],[Product]])</f>
        <v>T-Shirt</v>
      </c>
      <c r="K503" s="3">
        <v>3</v>
      </c>
      <c r="L503" s="10">
        <v>1999</v>
      </c>
      <c r="M503" t="s">
        <v>4</v>
      </c>
      <c r="N503" t="str">
        <f>IF(ISBLANK(Table1[[#This Row],[Payment method]]),"Unknown",Table1[[#This Row],[Payment method]])</f>
        <v>Net Banking</v>
      </c>
      <c r="O503" t="s">
        <v>58</v>
      </c>
      <c r="P503" t="str">
        <f>IF(Table1[[#This Row],[Unit price]]&gt;2000,"High Price","Standard Price")</f>
        <v>Standard Price</v>
      </c>
    </row>
    <row r="504" spans="1:16" x14ac:dyDescent="0.3">
      <c r="A504" s="3">
        <v>10503</v>
      </c>
      <c r="B504" s="1">
        <v>45733</v>
      </c>
      <c r="C504" s="3" t="s">
        <v>140</v>
      </c>
      <c r="D504" s="3" t="s">
        <v>7</v>
      </c>
      <c r="E504" t="s">
        <v>20</v>
      </c>
      <c r="G504" t="str">
        <f>IF(ISBLANK(Table1[[#This Row],[State]]),"Unknown",Table1[[#This Row],[State]])</f>
        <v>Unknown</v>
      </c>
      <c r="H504" t="s">
        <v>9</v>
      </c>
      <c r="I504" t="s">
        <v>16</v>
      </c>
      <c r="J504" t="str">
        <f>IF(ISBLANK(Table1[[#This Row],[Product]]),"Unknown",Table1[[#This Row],[Product]])</f>
        <v>Lamp</v>
      </c>
      <c r="K504" s="3">
        <v>3</v>
      </c>
      <c r="L504" s="10">
        <v>1299</v>
      </c>
      <c r="M504" t="s">
        <v>4</v>
      </c>
      <c r="N504" t="str">
        <f>IF(ISBLANK(Table1[[#This Row],[Payment method]]),"Unknown",Table1[[#This Row],[Payment method]])</f>
        <v>Net Banking</v>
      </c>
      <c r="O504" t="s">
        <v>58</v>
      </c>
      <c r="P504" t="str">
        <f>IF(Table1[[#This Row],[Unit price]]&gt;2000,"High Price","Standard Price")</f>
        <v>Standard Price</v>
      </c>
    </row>
    <row r="505" spans="1:16" x14ac:dyDescent="0.3">
      <c r="A505" s="3">
        <v>10504</v>
      </c>
      <c r="B505" s="1">
        <v>45712</v>
      </c>
      <c r="C505" s="3" t="s">
        <v>68</v>
      </c>
      <c r="D505" s="3" t="s">
        <v>43</v>
      </c>
      <c r="E505" t="s">
        <v>35</v>
      </c>
      <c r="F505" t="s">
        <v>36</v>
      </c>
      <c r="G505" t="str">
        <f>IF(ISBLANK(Table1[[#This Row],[State]]),"Unknown",Table1[[#This Row],[State]])</f>
        <v>Maharastra</v>
      </c>
      <c r="H505" t="s">
        <v>9</v>
      </c>
      <c r="I505" t="s">
        <v>16</v>
      </c>
      <c r="J505" t="str">
        <f>IF(ISBLANK(Table1[[#This Row],[Product]]),"Unknown",Table1[[#This Row],[Product]])</f>
        <v>Lamp</v>
      </c>
      <c r="K505" s="3">
        <v>3</v>
      </c>
      <c r="L505" s="10">
        <v>499</v>
      </c>
      <c r="M505" t="s">
        <v>26</v>
      </c>
      <c r="N505" t="str">
        <f>IF(ISBLANK(Table1[[#This Row],[Payment method]]),"Unknown",Table1[[#This Row],[Payment method]])</f>
        <v>Card</v>
      </c>
      <c r="O505" t="s">
        <v>5</v>
      </c>
      <c r="P505" t="str">
        <f>IF(Table1[[#This Row],[Unit price]]&gt;2000,"High Price","Standard Price")</f>
        <v>Standard Price</v>
      </c>
    </row>
    <row r="506" spans="1:16" x14ac:dyDescent="0.3">
      <c r="A506" s="3">
        <v>10505</v>
      </c>
      <c r="B506" s="1">
        <v>45712</v>
      </c>
      <c r="C506" s="3" t="s">
        <v>202</v>
      </c>
      <c r="D506" s="3" t="s">
        <v>7</v>
      </c>
      <c r="E506" t="s">
        <v>32</v>
      </c>
      <c r="F506" t="s">
        <v>15</v>
      </c>
      <c r="G506" t="str">
        <f>IF(ISBLANK(Table1[[#This Row],[State]]),"Unknown",Table1[[#This Row],[State]])</f>
        <v>Maharashtra</v>
      </c>
      <c r="H506" t="s">
        <v>33</v>
      </c>
      <c r="I506" t="s">
        <v>49</v>
      </c>
      <c r="J506" t="str">
        <f>IF(ISBLANK(Table1[[#This Row],[Product]]),"Unknown",Table1[[#This Row],[Product]])</f>
        <v>Keyboard</v>
      </c>
      <c r="K506" s="3">
        <v>2</v>
      </c>
      <c r="L506" s="10">
        <v>799</v>
      </c>
      <c r="M506" t="s">
        <v>11</v>
      </c>
      <c r="N506" t="str">
        <f>IF(ISBLANK(Table1[[#This Row],[Payment method]]),"Unknown",Table1[[#This Row],[Payment method]])</f>
        <v>Cash on Delivery</v>
      </c>
      <c r="O506" t="s">
        <v>5</v>
      </c>
      <c r="P506" t="str">
        <f>IF(Table1[[#This Row],[Unit price]]&gt;2000,"High Price","Standard Price")</f>
        <v>Standard Price</v>
      </c>
    </row>
    <row r="507" spans="1:16" x14ac:dyDescent="0.3">
      <c r="A507" s="3">
        <v>10506</v>
      </c>
      <c r="B507" s="1">
        <v>45680</v>
      </c>
      <c r="C507" s="3" t="s">
        <v>100</v>
      </c>
      <c r="D507" s="3" t="s">
        <v>39</v>
      </c>
      <c r="E507" t="s">
        <v>45</v>
      </c>
      <c r="F507" t="s">
        <v>54</v>
      </c>
      <c r="G507" t="str">
        <f>IF(ISBLANK(Table1[[#This Row],[State]]),"Unknown",Table1[[#This Row],[State]])</f>
        <v>Uttar Pradesh</v>
      </c>
      <c r="H507" t="s">
        <v>9</v>
      </c>
      <c r="J507" t="str">
        <f>IF(ISBLANK(Table1[[#This Row],[Product]]),"Unknown",Table1[[#This Row],[Product]])</f>
        <v>Unknown</v>
      </c>
      <c r="K507" s="3">
        <v>1</v>
      </c>
      <c r="L507" s="10">
        <v>499</v>
      </c>
      <c r="N507" t="str">
        <f>IF(ISBLANK(Table1[[#This Row],[Payment method]]),"Unknown",Table1[[#This Row],[Payment method]])</f>
        <v>Unknown</v>
      </c>
      <c r="O507" t="s">
        <v>12</v>
      </c>
      <c r="P507" t="str">
        <f>IF(Table1[[#This Row],[Unit price]]&gt;2000,"High Price","Standard Price")</f>
        <v>Standard Price</v>
      </c>
    </row>
    <row r="508" spans="1:16" x14ac:dyDescent="0.3">
      <c r="A508" s="3">
        <v>10507</v>
      </c>
      <c r="B508" s="1">
        <v>45836</v>
      </c>
      <c r="C508" s="3" t="s">
        <v>182</v>
      </c>
      <c r="D508" s="3" t="s">
        <v>39</v>
      </c>
      <c r="E508" t="s">
        <v>32</v>
      </c>
      <c r="F508" t="s">
        <v>15</v>
      </c>
      <c r="G508" t="str">
        <f>IF(ISBLANK(Table1[[#This Row],[State]]),"Unknown",Table1[[#This Row],[State]])</f>
        <v>Maharashtra</v>
      </c>
      <c r="H508" t="s">
        <v>2</v>
      </c>
      <c r="I508" t="s">
        <v>3</v>
      </c>
      <c r="J508" t="str">
        <f>IF(ISBLANK(Table1[[#This Row],[Product]]),"Unknown",Table1[[#This Row],[Product]])</f>
        <v>T-Shirt</v>
      </c>
      <c r="K508" s="3">
        <v>4</v>
      </c>
      <c r="L508" s="10">
        <v>499</v>
      </c>
      <c r="N508" t="str">
        <f>IF(ISBLANK(Table1[[#This Row],[Payment method]]),"Unknown",Table1[[#This Row],[Payment method]])</f>
        <v>Unknown</v>
      </c>
      <c r="O508" t="s">
        <v>12</v>
      </c>
      <c r="P508" t="str">
        <f>IF(Table1[[#This Row],[Unit price]]&gt;2000,"High Price","Standard Price")</f>
        <v>Standard Price</v>
      </c>
    </row>
    <row r="509" spans="1:16" x14ac:dyDescent="0.3">
      <c r="A509" s="3">
        <v>10508</v>
      </c>
      <c r="B509" s="1">
        <v>45670</v>
      </c>
      <c r="C509" s="3" t="s">
        <v>78</v>
      </c>
      <c r="D509" s="3" t="s">
        <v>1</v>
      </c>
      <c r="E509" t="s">
        <v>32</v>
      </c>
      <c r="F509" t="s">
        <v>36</v>
      </c>
      <c r="G509" t="str">
        <f>IF(ISBLANK(Table1[[#This Row],[State]]),"Unknown",Table1[[#This Row],[State]])</f>
        <v>Maharastra</v>
      </c>
      <c r="H509" t="s">
        <v>2</v>
      </c>
      <c r="I509" t="s">
        <v>24</v>
      </c>
      <c r="J509" t="str">
        <f>IF(ISBLANK(Table1[[#This Row],[Product]]),"Unknown",Table1[[#This Row],[Product]])</f>
        <v>Jeans</v>
      </c>
      <c r="K509" s="3">
        <v>1</v>
      </c>
      <c r="L509" s="10">
        <v>799</v>
      </c>
      <c r="M509" t="s">
        <v>4</v>
      </c>
      <c r="N509" t="str">
        <f>IF(ISBLANK(Table1[[#This Row],[Payment method]]),"Unknown",Table1[[#This Row],[Payment method]])</f>
        <v>Net Banking</v>
      </c>
      <c r="O509" t="s">
        <v>58</v>
      </c>
      <c r="P509" t="str">
        <f>IF(Table1[[#This Row],[Unit price]]&gt;2000,"High Price","Standard Price")</f>
        <v>Standard Price</v>
      </c>
    </row>
    <row r="510" spans="1:16" x14ac:dyDescent="0.3">
      <c r="A510" s="3">
        <v>10509</v>
      </c>
      <c r="B510" s="1">
        <v>45787</v>
      </c>
      <c r="C510" s="3" t="s">
        <v>219</v>
      </c>
      <c r="D510" s="3" t="s">
        <v>1</v>
      </c>
      <c r="E510" t="s">
        <v>20</v>
      </c>
      <c r="F510" t="s">
        <v>20</v>
      </c>
      <c r="G510" t="str">
        <f>IF(ISBLANK(Table1[[#This Row],[State]]),"Unknown",Table1[[#This Row],[State]])</f>
        <v>Delhi</v>
      </c>
      <c r="H510" t="s">
        <v>9</v>
      </c>
      <c r="I510" t="s">
        <v>10</v>
      </c>
      <c r="J510" t="str">
        <f>IF(ISBLANK(Table1[[#This Row],[Product]]),"Unknown",Table1[[#This Row],[Product]])</f>
        <v>Chair</v>
      </c>
      <c r="K510" s="3">
        <v>5</v>
      </c>
      <c r="L510" s="10">
        <v>299</v>
      </c>
      <c r="M510" t="s">
        <v>4</v>
      </c>
      <c r="N510" t="str">
        <f>IF(ISBLANK(Table1[[#This Row],[Payment method]]),"Unknown",Table1[[#This Row],[Payment method]])</f>
        <v>Net Banking</v>
      </c>
      <c r="O510" t="s">
        <v>12</v>
      </c>
      <c r="P510" t="str">
        <f>IF(Table1[[#This Row],[Unit price]]&gt;2000,"High Price","Standard Price")</f>
        <v>Standard Price</v>
      </c>
    </row>
    <row r="511" spans="1:16" x14ac:dyDescent="0.3">
      <c r="A511" s="3">
        <v>10510</v>
      </c>
      <c r="B511" s="1">
        <v>45786</v>
      </c>
      <c r="C511" s="3" t="s">
        <v>220</v>
      </c>
      <c r="D511" s="3" t="s">
        <v>7</v>
      </c>
      <c r="E511" t="s">
        <v>35</v>
      </c>
      <c r="F511" t="s">
        <v>15</v>
      </c>
      <c r="G511" t="str">
        <f>IF(ISBLANK(Table1[[#This Row],[State]]),"Unknown",Table1[[#This Row],[State]])</f>
        <v>Maharashtra</v>
      </c>
      <c r="H511" t="s">
        <v>2</v>
      </c>
      <c r="I511" t="s">
        <v>3</v>
      </c>
      <c r="J511" t="str">
        <f>IF(ISBLANK(Table1[[#This Row],[Product]]),"Unknown",Table1[[#This Row],[Product]])</f>
        <v>T-Shirt</v>
      </c>
      <c r="K511" s="3">
        <v>4</v>
      </c>
      <c r="L511" s="10">
        <v>299</v>
      </c>
      <c r="M511" t="s">
        <v>4</v>
      </c>
      <c r="N511" t="str">
        <f>IF(ISBLANK(Table1[[#This Row],[Payment method]]),"Unknown",Table1[[#This Row],[Payment method]])</f>
        <v>Net Banking</v>
      </c>
      <c r="O511" t="s">
        <v>5</v>
      </c>
      <c r="P511" t="str">
        <f>IF(Table1[[#This Row],[Unit price]]&gt;2000,"High Price","Standard Price")</f>
        <v>Standard Price</v>
      </c>
    </row>
    <row r="512" spans="1:16" x14ac:dyDescent="0.3">
      <c r="A512" s="3">
        <v>10511</v>
      </c>
      <c r="B512" s="1">
        <v>45729</v>
      </c>
      <c r="C512" s="3" t="s">
        <v>91</v>
      </c>
      <c r="D512" s="3" t="s">
        <v>19</v>
      </c>
      <c r="E512" t="s">
        <v>45</v>
      </c>
      <c r="F512" t="s">
        <v>54</v>
      </c>
      <c r="G512" t="str">
        <f>IF(ISBLANK(Table1[[#This Row],[State]]),"Unknown",Table1[[#This Row],[State]])</f>
        <v>Uttar Pradesh</v>
      </c>
      <c r="H512" t="s">
        <v>2</v>
      </c>
      <c r="I512" t="s">
        <v>3</v>
      </c>
      <c r="J512" t="str">
        <f>IF(ISBLANK(Table1[[#This Row],[Product]]),"Unknown",Table1[[#This Row],[Product]])</f>
        <v>T-Shirt</v>
      </c>
      <c r="K512" s="3">
        <v>5</v>
      </c>
      <c r="L512" s="10">
        <v>799</v>
      </c>
      <c r="M512" t="s">
        <v>26</v>
      </c>
      <c r="N512" t="str">
        <f>IF(ISBLANK(Table1[[#This Row],[Payment method]]),"Unknown",Table1[[#This Row],[Payment method]])</f>
        <v>Card</v>
      </c>
      <c r="O512" t="s">
        <v>5</v>
      </c>
      <c r="P512" t="str">
        <f>IF(Table1[[#This Row],[Unit price]]&gt;2000,"High Price","Standard Price")</f>
        <v>Standard Price</v>
      </c>
    </row>
    <row r="513" spans="1:16" x14ac:dyDescent="0.3">
      <c r="A513" s="3">
        <v>10512</v>
      </c>
      <c r="B513" s="1">
        <v>45741</v>
      </c>
      <c r="C513" s="3" t="s">
        <v>78</v>
      </c>
      <c r="D513" s="3" t="s">
        <v>1</v>
      </c>
      <c r="E513" t="s">
        <v>32</v>
      </c>
      <c r="F513" t="s">
        <v>15</v>
      </c>
      <c r="G513" t="str">
        <f>IF(ISBLANK(Table1[[#This Row],[State]]),"Unknown",Table1[[#This Row],[State]])</f>
        <v>Maharashtra</v>
      </c>
      <c r="H513" t="s">
        <v>2</v>
      </c>
      <c r="I513" t="s">
        <v>24</v>
      </c>
      <c r="J513" t="str">
        <f>IF(ISBLANK(Table1[[#This Row],[Product]]),"Unknown",Table1[[#This Row],[Product]])</f>
        <v>Jeans</v>
      </c>
      <c r="K513" s="3">
        <v>4</v>
      </c>
      <c r="L513" s="10">
        <v>1999</v>
      </c>
      <c r="N513" t="str">
        <f>IF(ISBLANK(Table1[[#This Row],[Payment method]]),"Unknown",Table1[[#This Row],[Payment method]])</f>
        <v>Unknown</v>
      </c>
      <c r="O513" t="s">
        <v>17</v>
      </c>
      <c r="P513" t="str">
        <f>IF(Table1[[#This Row],[Unit price]]&gt;2000,"High Price","Standard Price")</f>
        <v>Standard Price</v>
      </c>
    </row>
    <row r="514" spans="1:16" x14ac:dyDescent="0.3">
      <c r="A514" s="3">
        <v>10513</v>
      </c>
      <c r="B514" s="1">
        <v>45812</v>
      </c>
      <c r="C514" s="3" t="s">
        <v>62</v>
      </c>
      <c r="D514" s="3" t="s">
        <v>19</v>
      </c>
      <c r="E514" t="s">
        <v>32</v>
      </c>
      <c r="F514" t="s">
        <v>15</v>
      </c>
      <c r="G514" t="str">
        <f>IF(ISBLANK(Table1[[#This Row],[State]]),"Unknown",Table1[[#This Row],[State]])</f>
        <v>Maharashtra</v>
      </c>
      <c r="H514" t="s">
        <v>9</v>
      </c>
      <c r="I514" t="s">
        <v>10</v>
      </c>
      <c r="J514" t="str">
        <f>IF(ISBLANK(Table1[[#This Row],[Product]]),"Unknown",Table1[[#This Row],[Product]])</f>
        <v>Chair</v>
      </c>
      <c r="K514" s="3">
        <v>5</v>
      </c>
      <c r="L514" s="10">
        <v>1999</v>
      </c>
      <c r="M514" t="s">
        <v>4</v>
      </c>
      <c r="N514" t="str">
        <f>IF(ISBLANK(Table1[[#This Row],[Payment method]]),"Unknown",Table1[[#This Row],[Payment method]])</f>
        <v>Net Banking</v>
      </c>
      <c r="O514" t="s">
        <v>5</v>
      </c>
      <c r="P514" t="str">
        <f>IF(Table1[[#This Row],[Unit price]]&gt;2000,"High Price","Standard Price")</f>
        <v>Standard Price</v>
      </c>
    </row>
    <row r="515" spans="1:16" x14ac:dyDescent="0.3">
      <c r="A515" s="3">
        <v>10514</v>
      </c>
      <c r="B515" s="1">
        <v>45765</v>
      </c>
      <c r="C515" s="3" t="s">
        <v>40</v>
      </c>
      <c r="D515" s="3" t="s">
        <v>43</v>
      </c>
      <c r="E515" t="s">
        <v>247</v>
      </c>
      <c r="F515" t="s">
        <v>15</v>
      </c>
      <c r="G515" t="str">
        <f>IF(ISBLANK(Table1[[#This Row],[State]]),"Unknown",Table1[[#This Row],[State]])</f>
        <v>Maharashtra</v>
      </c>
      <c r="H515" t="s">
        <v>33</v>
      </c>
      <c r="I515" t="s">
        <v>21</v>
      </c>
      <c r="J515" t="str">
        <f>IF(ISBLANK(Table1[[#This Row],[Product]]),"Unknown",Table1[[#This Row],[Product]])</f>
        <v>Headphones</v>
      </c>
      <c r="K515" s="3">
        <v>3</v>
      </c>
      <c r="L515" s="10">
        <v>1299</v>
      </c>
      <c r="N515" t="str">
        <f>IF(ISBLANK(Table1[[#This Row],[Payment method]]),"Unknown",Table1[[#This Row],[Payment method]])</f>
        <v>Unknown</v>
      </c>
      <c r="O515" t="s">
        <v>58</v>
      </c>
      <c r="P515" t="str">
        <f>IF(Table1[[#This Row],[Unit price]]&gt;2000,"High Price","Standard Price")</f>
        <v>Standard Price</v>
      </c>
    </row>
    <row r="516" spans="1:16" x14ac:dyDescent="0.3">
      <c r="A516" s="3">
        <v>10515</v>
      </c>
      <c r="B516" s="1">
        <v>45721</v>
      </c>
      <c r="C516" s="3" t="s">
        <v>106</v>
      </c>
      <c r="D516" s="3" t="s">
        <v>7</v>
      </c>
      <c r="E516" t="s">
        <v>45</v>
      </c>
      <c r="F516" t="s">
        <v>54</v>
      </c>
      <c r="G516" t="str">
        <f>IF(ISBLANK(Table1[[#This Row],[State]]),"Unknown",Table1[[#This Row],[State]])</f>
        <v>Uttar Pradesh</v>
      </c>
      <c r="H516" t="s">
        <v>9</v>
      </c>
      <c r="I516" t="s">
        <v>16</v>
      </c>
      <c r="J516" t="str">
        <f>IF(ISBLANK(Table1[[#This Row],[Product]]),"Unknown",Table1[[#This Row],[Product]])</f>
        <v>Lamp</v>
      </c>
      <c r="K516" s="3">
        <v>4</v>
      </c>
      <c r="L516" s="10">
        <v>1299</v>
      </c>
      <c r="M516" t="s">
        <v>26</v>
      </c>
      <c r="N516" t="str">
        <f>IF(ISBLANK(Table1[[#This Row],[Payment method]]),"Unknown",Table1[[#This Row],[Payment method]])</f>
        <v>Card</v>
      </c>
      <c r="O516" t="s">
        <v>58</v>
      </c>
      <c r="P516" t="str">
        <f>IF(Table1[[#This Row],[Unit price]]&gt;2000,"High Price","Standard Price")</f>
        <v>Standard Price</v>
      </c>
    </row>
    <row r="517" spans="1:16" x14ac:dyDescent="0.3">
      <c r="A517" s="3">
        <v>10516</v>
      </c>
      <c r="B517" s="1">
        <v>45663</v>
      </c>
      <c r="C517" s="3" t="s">
        <v>221</v>
      </c>
      <c r="D517" s="3" t="s">
        <v>43</v>
      </c>
      <c r="E517" t="s">
        <v>248</v>
      </c>
      <c r="F517" t="s">
        <v>52</v>
      </c>
      <c r="G517" t="str">
        <f>IF(ISBLANK(Table1[[#This Row],[State]]),"Unknown",Table1[[#This Row],[State]])</f>
        <v>Karnataka</v>
      </c>
      <c r="H517" t="s">
        <v>2</v>
      </c>
      <c r="I517" t="s">
        <v>24</v>
      </c>
      <c r="J517" t="str">
        <f>IF(ISBLANK(Table1[[#This Row],[Product]]),"Unknown",Table1[[#This Row],[Product]])</f>
        <v>Jeans</v>
      </c>
      <c r="K517" s="3">
        <v>4</v>
      </c>
      <c r="L517" s="10">
        <v>1299</v>
      </c>
      <c r="N517" t="str">
        <f>IF(ISBLANK(Table1[[#This Row],[Payment method]]),"Unknown",Table1[[#This Row],[Payment method]])</f>
        <v>Unknown</v>
      </c>
      <c r="O517" t="s">
        <v>17</v>
      </c>
      <c r="P517" t="str">
        <f>IF(Table1[[#This Row],[Unit price]]&gt;2000,"High Price","Standard Price")</f>
        <v>Standard Price</v>
      </c>
    </row>
    <row r="518" spans="1:16" x14ac:dyDescent="0.3">
      <c r="A518" s="3">
        <v>10517</v>
      </c>
      <c r="B518" s="1">
        <v>45710</v>
      </c>
      <c r="C518" s="3" t="s">
        <v>222</v>
      </c>
      <c r="D518" s="3" t="s">
        <v>1</v>
      </c>
      <c r="E518" t="s">
        <v>8</v>
      </c>
      <c r="F518" t="s">
        <v>52</v>
      </c>
      <c r="G518" t="str">
        <f>IF(ISBLANK(Table1[[#This Row],[State]]),"Unknown",Table1[[#This Row],[State]])</f>
        <v>Karnataka</v>
      </c>
      <c r="H518" t="s">
        <v>9</v>
      </c>
      <c r="I518" t="s">
        <v>10</v>
      </c>
      <c r="J518" t="str">
        <f>IF(ISBLANK(Table1[[#This Row],[Product]]),"Unknown",Table1[[#This Row],[Product]])</f>
        <v>Chair</v>
      </c>
      <c r="K518" s="3">
        <v>5</v>
      </c>
      <c r="L518" s="10">
        <v>1299</v>
      </c>
      <c r="M518" t="s">
        <v>4</v>
      </c>
      <c r="N518" t="str">
        <f>IF(ISBLANK(Table1[[#This Row],[Payment method]]),"Unknown",Table1[[#This Row],[Payment method]])</f>
        <v>Net Banking</v>
      </c>
      <c r="O518" t="s">
        <v>12</v>
      </c>
      <c r="P518" t="str">
        <f>IF(Table1[[#This Row],[Unit price]]&gt;2000,"High Price","Standard Price")</f>
        <v>Standard Price</v>
      </c>
    </row>
    <row r="519" spans="1:16" x14ac:dyDescent="0.3">
      <c r="A519" s="3">
        <v>10518</v>
      </c>
      <c r="B519" s="1">
        <v>45673</v>
      </c>
      <c r="C519" s="3" t="s">
        <v>83</v>
      </c>
      <c r="D519" s="3" t="s">
        <v>19</v>
      </c>
      <c r="E519" t="s">
        <v>35</v>
      </c>
      <c r="F519" t="s">
        <v>15</v>
      </c>
      <c r="G519" t="str">
        <f>IF(ISBLANK(Table1[[#This Row],[State]]),"Unknown",Table1[[#This Row],[State]])</f>
        <v>Maharashtra</v>
      </c>
      <c r="H519" t="s">
        <v>2</v>
      </c>
      <c r="J519" t="str">
        <f>IF(ISBLANK(Table1[[#This Row],[Product]]),"Unknown",Table1[[#This Row],[Product]])</f>
        <v>Unknown</v>
      </c>
      <c r="K519" s="3">
        <v>2</v>
      </c>
      <c r="L519" s="10">
        <v>799</v>
      </c>
      <c r="M519" t="s">
        <v>26</v>
      </c>
      <c r="N519" t="str">
        <f>IF(ISBLANK(Table1[[#This Row],[Payment method]]),"Unknown",Table1[[#This Row],[Payment method]])</f>
        <v>Card</v>
      </c>
      <c r="O519" t="s">
        <v>5</v>
      </c>
      <c r="P519" t="str">
        <f>IF(Table1[[#This Row],[Unit price]]&gt;2000,"High Price","Standard Price")</f>
        <v>Standard Price</v>
      </c>
    </row>
    <row r="520" spans="1:16" x14ac:dyDescent="0.3">
      <c r="A520" s="3">
        <v>10519</v>
      </c>
      <c r="B520" s="1">
        <v>45780</v>
      </c>
      <c r="C520" s="3" t="s">
        <v>119</v>
      </c>
      <c r="D520" s="3" t="s">
        <v>14</v>
      </c>
      <c r="E520" t="s">
        <v>35</v>
      </c>
      <c r="F520" t="s">
        <v>15</v>
      </c>
      <c r="G520" t="str">
        <f>IF(ISBLANK(Table1[[#This Row],[State]]),"Unknown",Table1[[#This Row],[State]])</f>
        <v>Maharashtra</v>
      </c>
      <c r="H520" t="s">
        <v>33</v>
      </c>
      <c r="I520" t="s">
        <v>49</v>
      </c>
      <c r="J520" t="str">
        <f>IF(ISBLANK(Table1[[#This Row],[Product]]),"Unknown",Table1[[#This Row],[Product]])</f>
        <v>Keyboard</v>
      </c>
      <c r="K520" s="3">
        <v>4</v>
      </c>
      <c r="L520" s="10">
        <v>299</v>
      </c>
      <c r="N520" t="str">
        <f>IF(ISBLANK(Table1[[#This Row],[Payment method]]),"Unknown",Table1[[#This Row],[Payment method]])</f>
        <v>Unknown</v>
      </c>
      <c r="O520" t="s">
        <v>5</v>
      </c>
      <c r="P520" t="str">
        <f>IF(Table1[[#This Row],[Unit price]]&gt;2000,"High Price","Standard Price")</f>
        <v>Standard Price</v>
      </c>
    </row>
    <row r="521" spans="1:16" x14ac:dyDescent="0.3">
      <c r="A521" s="3">
        <v>10520</v>
      </c>
      <c r="B521" s="1">
        <v>45665</v>
      </c>
      <c r="C521" s="3" t="s">
        <v>223</v>
      </c>
      <c r="D521" s="3" t="s">
        <v>57</v>
      </c>
      <c r="E521" t="s">
        <v>8</v>
      </c>
      <c r="F521" t="s">
        <v>52</v>
      </c>
      <c r="G521" t="str">
        <f>IF(ISBLANK(Table1[[#This Row],[State]]),"Unknown",Table1[[#This Row],[State]])</f>
        <v>Karnataka</v>
      </c>
      <c r="H521" t="s">
        <v>2</v>
      </c>
      <c r="I521" t="s">
        <v>3</v>
      </c>
      <c r="J521" t="str">
        <f>IF(ISBLANK(Table1[[#This Row],[Product]]),"Unknown",Table1[[#This Row],[Product]])</f>
        <v>T-Shirt</v>
      </c>
      <c r="K521" s="3">
        <v>4</v>
      </c>
      <c r="L521" s="10">
        <v>799</v>
      </c>
      <c r="M521" t="s">
        <v>4</v>
      </c>
      <c r="N521" t="str">
        <f>IF(ISBLANK(Table1[[#This Row],[Payment method]]),"Unknown",Table1[[#This Row],[Payment method]])</f>
        <v>Net Banking</v>
      </c>
      <c r="O521" t="s">
        <v>12</v>
      </c>
      <c r="P521" t="str">
        <f>IF(Table1[[#This Row],[Unit price]]&gt;2000,"High Price","Standard Price")</f>
        <v>Standard Price</v>
      </c>
    </row>
    <row r="522" spans="1:16" x14ac:dyDescent="0.3">
      <c r="A522" s="3">
        <v>10521</v>
      </c>
      <c r="B522" s="1">
        <v>45710</v>
      </c>
      <c r="C522" s="3" t="s">
        <v>85</v>
      </c>
      <c r="D522" s="3" t="s">
        <v>1</v>
      </c>
      <c r="E522" t="s">
        <v>20</v>
      </c>
      <c r="G522" t="str">
        <f>IF(ISBLANK(Table1[[#This Row],[State]]),"Unknown",Table1[[#This Row],[State]])</f>
        <v>Unknown</v>
      </c>
      <c r="H522" t="s">
        <v>33</v>
      </c>
      <c r="I522" t="s">
        <v>37</v>
      </c>
      <c r="J522" t="str">
        <f>IF(ISBLANK(Table1[[#This Row],[Product]]),"Unknown",Table1[[#This Row],[Product]])</f>
        <v>Mouse</v>
      </c>
      <c r="K522" s="3">
        <v>3</v>
      </c>
      <c r="L522" s="10">
        <v>499</v>
      </c>
      <c r="N522" t="str">
        <f>IF(ISBLANK(Table1[[#This Row],[Payment method]]),"Unknown",Table1[[#This Row],[Payment method]])</f>
        <v>Unknown</v>
      </c>
      <c r="O522" t="s">
        <v>5</v>
      </c>
      <c r="P522" t="str">
        <f>IF(Table1[[#This Row],[Unit price]]&gt;2000,"High Price","Standard Price")</f>
        <v>Standard Price</v>
      </c>
    </row>
    <row r="523" spans="1:16" x14ac:dyDescent="0.3">
      <c r="A523" s="3">
        <v>10522</v>
      </c>
      <c r="B523" s="1">
        <v>45839</v>
      </c>
      <c r="C523" s="3" t="s">
        <v>147</v>
      </c>
      <c r="D523" s="3" t="s">
        <v>19</v>
      </c>
      <c r="E523" t="s">
        <v>32</v>
      </c>
      <c r="F523" t="s">
        <v>15</v>
      </c>
      <c r="G523" t="str">
        <f>IF(ISBLANK(Table1[[#This Row],[State]]),"Unknown",Table1[[#This Row],[State]])</f>
        <v>Maharashtra</v>
      </c>
      <c r="H523" t="s">
        <v>33</v>
      </c>
      <c r="I523" t="s">
        <v>49</v>
      </c>
      <c r="J523" t="str">
        <f>IF(ISBLANK(Table1[[#This Row],[Product]]),"Unknown",Table1[[#This Row],[Product]])</f>
        <v>Keyboard</v>
      </c>
      <c r="K523" s="3">
        <v>4</v>
      </c>
      <c r="L523" s="10">
        <v>1299</v>
      </c>
      <c r="N523" t="str">
        <f>IF(ISBLANK(Table1[[#This Row],[Payment method]]),"Unknown",Table1[[#This Row],[Payment method]])</f>
        <v>Unknown</v>
      </c>
      <c r="O523" t="s">
        <v>58</v>
      </c>
      <c r="P523" t="str">
        <f>IF(Table1[[#This Row],[Unit price]]&gt;2000,"High Price","Standard Price")</f>
        <v>Standard Price</v>
      </c>
    </row>
    <row r="524" spans="1:16" x14ac:dyDescent="0.3">
      <c r="A524" s="3">
        <v>10523</v>
      </c>
      <c r="B524" s="1">
        <v>45818</v>
      </c>
      <c r="C524" s="3" t="s">
        <v>221</v>
      </c>
      <c r="D524" s="3" t="s">
        <v>7</v>
      </c>
      <c r="E524" t="s">
        <v>45</v>
      </c>
      <c r="F524" t="s">
        <v>54</v>
      </c>
      <c r="G524" t="str">
        <f>IF(ISBLANK(Table1[[#This Row],[State]]),"Unknown",Table1[[#This Row],[State]])</f>
        <v>Uttar Pradesh</v>
      </c>
      <c r="H524" t="s">
        <v>33</v>
      </c>
      <c r="I524" t="s">
        <v>37</v>
      </c>
      <c r="J524" t="str">
        <f>IF(ISBLANK(Table1[[#This Row],[Product]]),"Unknown",Table1[[#This Row],[Product]])</f>
        <v>Mouse</v>
      </c>
      <c r="K524" s="3">
        <v>4</v>
      </c>
      <c r="L524" s="10">
        <v>499</v>
      </c>
      <c r="M524" t="s">
        <v>4</v>
      </c>
      <c r="N524" t="str">
        <f>IF(ISBLANK(Table1[[#This Row],[Payment method]]),"Unknown",Table1[[#This Row],[Payment method]])</f>
        <v>Net Banking</v>
      </c>
      <c r="O524" t="s">
        <v>58</v>
      </c>
      <c r="P524" t="str">
        <f>IF(Table1[[#This Row],[Unit price]]&gt;2000,"High Price","Standard Price")</f>
        <v>Standard Price</v>
      </c>
    </row>
    <row r="525" spans="1:16" x14ac:dyDescent="0.3">
      <c r="A525" s="3">
        <v>10524</v>
      </c>
      <c r="B525" s="1">
        <v>45701</v>
      </c>
      <c r="C525" s="3" t="s">
        <v>186</v>
      </c>
      <c r="D525" s="3" t="s">
        <v>14</v>
      </c>
      <c r="E525" t="s">
        <v>20</v>
      </c>
      <c r="F525" t="s">
        <v>20</v>
      </c>
      <c r="G525" t="str">
        <f>IF(ISBLANK(Table1[[#This Row],[State]]),"Unknown",Table1[[#This Row],[State]])</f>
        <v>Delhi</v>
      </c>
      <c r="H525" t="s">
        <v>9</v>
      </c>
      <c r="I525" t="s">
        <v>10</v>
      </c>
      <c r="J525" t="str">
        <f>IF(ISBLANK(Table1[[#This Row],[Product]]),"Unknown",Table1[[#This Row],[Product]])</f>
        <v>Chair</v>
      </c>
      <c r="K525" s="3">
        <v>4</v>
      </c>
      <c r="L525" s="10">
        <v>799</v>
      </c>
      <c r="M525" t="s">
        <v>4</v>
      </c>
      <c r="N525" t="str">
        <f>IF(ISBLANK(Table1[[#This Row],[Payment method]]),"Unknown",Table1[[#This Row],[Payment method]])</f>
        <v>Net Banking</v>
      </c>
      <c r="O525" t="s">
        <v>12</v>
      </c>
      <c r="P525" t="str">
        <f>IF(Table1[[#This Row],[Unit price]]&gt;2000,"High Price","Standard Price")</f>
        <v>Standard Price</v>
      </c>
    </row>
    <row r="526" spans="1:16" x14ac:dyDescent="0.3">
      <c r="A526" s="3">
        <v>10525</v>
      </c>
      <c r="B526" s="1">
        <v>45744</v>
      </c>
      <c r="C526" s="3" t="s">
        <v>110</v>
      </c>
      <c r="D526" s="3" t="s">
        <v>57</v>
      </c>
      <c r="E526" t="s">
        <v>247</v>
      </c>
      <c r="F526" t="s">
        <v>15</v>
      </c>
      <c r="G526" t="str">
        <f>IF(ISBLANK(Table1[[#This Row],[State]]),"Unknown",Table1[[#This Row],[State]])</f>
        <v>Maharashtra</v>
      </c>
      <c r="H526" t="s">
        <v>9</v>
      </c>
      <c r="I526" t="s">
        <v>10</v>
      </c>
      <c r="J526" t="str">
        <f>IF(ISBLANK(Table1[[#This Row],[Product]]),"Unknown",Table1[[#This Row],[Product]])</f>
        <v>Chair</v>
      </c>
      <c r="K526" s="3">
        <v>4</v>
      </c>
      <c r="L526" s="10">
        <v>1999</v>
      </c>
      <c r="M526" t="s">
        <v>26</v>
      </c>
      <c r="N526" t="str">
        <f>IF(ISBLANK(Table1[[#This Row],[Payment method]]),"Unknown",Table1[[#This Row],[Payment method]])</f>
        <v>Card</v>
      </c>
      <c r="O526" t="s">
        <v>58</v>
      </c>
      <c r="P526" t="str">
        <f>IF(Table1[[#This Row],[Unit price]]&gt;2000,"High Price","Standard Price")</f>
        <v>Standard Price</v>
      </c>
    </row>
    <row r="527" spans="1:16" x14ac:dyDescent="0.3">
      <c r="A527" s="3">
        <v>10526</v>
      </c>
      <c r="B527" s="1">
        <v>45997</v>
      </c>
      <c r="C527" s="3" t="s">
        <v>191</v>
      </c>
      <c r="D527" s="3" t="s">
        <v>14</v>
      </c>
      <c r="E527" t="s">
        <v>8</v>
      </c>
      <c r="F527" t="s">
        <v>52</v>
      </c>
      <c r="G527" t="str">
        <f>IF(ISBLANK(Table1[[#This Row],[State]]),"Unknown",Table1[[#This Row],[State]])</f>
        <v>Karnataka</v>
      </c>
      <c r="H527" t="s">
        <v>9</v>
      </c>
      <c r="I527" t="s">
        <v>16</v>
      </c>
      <c r="J527" t="str">
        <f>IF(ISBLANK(Table1[[#This Row],[Product]]),"Unknown",Table1[[#This Row],[Product]])</f>
        <v>Lamp</v>
      </c>
      <c r="K527" s="3">
        <v>1</v>
      </c>
      <c r="L527" s="10">
        <v>1299</v>
      </c>
      <c r="N527" t="str">
        <f>IF(ISBLANK(Table1[[#This Row],[Payment method]]),"Unknown",Table1[[#This Row],[Payment method]])</f>
        <v>Unknown</v>
      </c>
      <c r="O527" t="s">
        <v>17</v>
      </c>
      <c r="P527" t="str">
        <f>IF(Table1[[#This Row],[Unit price]]&gt;2000,"High Price","Standard Price")</f>
        <v>Standard Price</v>
      </c>
    </row>
    <row r="528" spans="1:16" x14ac:dyDescent="0.3">
      <c r="A528" s="3">
        <v>10527</v>
      </c>
      <c r="B528" s="1">
        <v>45780</v>
      </c>
      <c r="C528" s="3" t="s">
        <v>116</v>
      </c>
      <c r="D528" s="3" t="s">
        <v>1</v>
      </c>
      <c r="E528" t="s">
        <v>45</v>
      </c>
      <c r="F528" t="s">
        <v>54</v>
      </c>
      <c r="G528" t="str">
        <f>IF(ISBLANK(Table1[[#This Row],[State]]),"Unknown",Table1[[#This Row],[State]])</f>
        <v>Uttar Pradesh</v>
      </c>
      <c r="H528" t="s">
        <v>9</v>
      </c>
      <c r="I528" t="s">
        <v>10</v>
      </c>
      <c r="J528" t="str">
        <f>IF(ISBLANK(Table1[[#This Row],[Product]]),"Unknown",Table1[[#This Row],[Product]])</f>
        <v>Chair</v>
      </c>
      <c r="K528" s="3">
        <v>2</v>
      </c>
      <c r="L528" s="10">
        <v>1299</v>
      </c>
      <c r="M528" t="s">
        <v>26</v>
      </c>
      <c r="N528" t="str">
        <f>IF(ISBLANK(Table1[[#This Row],[Payment method]]),"Unknown",Table1[[#This Row],[Payment method]])</f>
        <v>Card</v>
      </c>
      <c r="O528" t="s">
        <v>12</v>
      </c>
      <c r="P528" t="str">
        <f>IF(Table1[[#This Row],[Unit price]]&gt;2000,"High Price","Standard Price")</f>
        <v>Standard Price</v>
      </c>
    </row>
    <row r="529" spans="1:16" x14ac:dyDescent="0.3">
      <c r="A529" s="3">
        <v>10528</v>
      </c>
      <c r="B529" s="1">
        <v>45729</v>
      </c>
      <c r="C529" s="3" t="s">
        <v>224</v>
      </c>
      <c r="D529" s="3" t="s">
        <v>1</v>
      </c>
      <c r="E529" t="s">
        <v>247</v>
      </c>
      <c r="G529" t="str">
        <f>IF(ISBLANK(Table1[[#This Row],[State]]),"Unknown",Table1[[#This Row],[State]])</f>
        <v>Unknown</v>
      </c>
      <c r="H529" t="s">
        <v>33</v>
      </c>
      <c r="I529" t="s">
        <v>37</v>
      </c>
      <c r="J529" t="str">
        <f>IF(ISBLANK(Table1[[#This Row],[Product]]),"Unknown",Table1[[#This Row],[Product]])</f>
        <v>Mouse</v>
      </c>
      <c r="K529" s="3">
        <v>2</v>
      </c>
      <c r="L529" s="10">
        <v>299</v>
      </c>
      <c r="M529" t="s">
        <v>26</v>
      </c>
      <c r="N529" t="str">
        <f>IF(ISBLANK(Table1[[#This Row],[Payment method]]),"Unknown",Table1[[#This Row],[Payment method]])</f>
        <v>Card</v>
      </c>
      <c r="O529" t="s">
        <v>5</v>
      </c>
      <c r="P529" t="str">
        <f>IF(Table1[[#This Row],[Unit price]]&gt;2000,"High Price","Standard Price")</f>
        <v>Standard Price</v>
      </c>
    </row>
    <row r="530" spans="1:16" x14ac:dyDescent="0.3">
      <c r="A530" s="3">
        <v>10529</v>
      </c>
      <c r="B530" s="1">
        <v>45706</v>
      </c>
      <c r="C530" s="3" t="s">
        <v>106</v>
      </c>
      <c r="D530" s="3" t="s">
        <v>57</v>
      </c>
      <c r="E530" t="s">
        <v>20</v>
      </c>
      <c r="F530" t="s">
        <v>20</v>
      </c>
      <c r="G530" t="str">
        <f>IF(ISBLANK(Table1[[#This Row],[State]]),"Unknown",Table1[[#This Row],[State]])</f>
        <v>Delhi</v>
      </c>
      <c r="H530" t="s">
        <v>33</v>
      </c>
      <c r="I530" t="s">
        <v>49</v>
      </c>
      <c r="J530" t="str">
        <f>IF(ISBLANK(Table1[[#This Row],[Product]]),"Unknown",Table1[[#This Row],[Product]])</f>
        <v>Keyboard</v>
      </c>
      <c r="K530" s="3">
        <v>3</v>
      </c>
      <c r="L530" s="10">
        <v>499</v>
      </c>
      <c r="N530" t="str">
        <f>IF(ISBLANK(Table1[[#This Row],[Payment method]]),"Unknown",Table1[[#This Row],[Payment method]])</f>
        <v>Unknown</v>
      </c>
      <c r="O530" t="s">
        <v>5</v>
      </c>
      <c r="P530" t="str">
        <f>IF(Table1[[#This Row],[Unit price]]&gt;2000,"High Price","Standard Price")</f>
        <v>Standard Price</v>
      </c>
    </row>
    <row r="531" spans="1:16" x14ac:dyDescent="0.3">
      <c r="A531" s="3">
        <v>10530</v>
      </c>
      <c r="B531" s="1">
        <v>45697</v>
      </c>
      <c r="C531" s="3" t="s">
        <v>152</v>
      </c>
      <c r="D531" s="3" t="s">
        <v>57</v>
      </c>
      <c r="E531" t="s">
        <v>32</v>
      </c>
      <c r="F531" t="s">
        <v>36</v>
      </c>
      <c r="G531" t="str">
        <f>IF(ISBLANK(Table1[[#This Row],[State]]),"Unknown",Table1[[#This Row],[State]])</f>
        <v>Maharastra</v>
      </c>
      <c r="H531" t="s">
        <v>9</v>
      </c>
      <c r="I531" t="s">
        <v>10</v>
      </c>
      <c r="J531" t="str">
        <f>IF(ISBLANK(Table1[[#This Row],[Product]]),"Unknown",Table1[[#This Row],[Product]])</f>
        <v>Chair</v>
      </c>
      <c r="K531" s="3">
        <v>2</v>
      </c>
      <c r="L531" s="10">
        <v>1999</v>
      </c>
      <c r="M531" t="s">
        <v>4</v>
      </c>
      <c r="N531" t="str">
        <f>IF(ISBLANK(Table1[[#This Row],[Payment method]]),"Unknown",Table1[[#This Row],[Payment method]])</f>
        <v>Net Banking</v>
      </c>
      <c r="O531" t="s">
        <v>17</v>
      </c>
      <c r="P531" t="str">
        <f>IF(Table1[[#This Row],[Unit price]]&gt;2000,"High Price","Standard Price")</f>
        <v>Standard Price</v>
      </c>
    </row>
    <row r="532" spans="1:16" x14ac:dyDescent="0.3">
      <c r="A532" s="3">
        <v>10531</v>
      </c>
      <c r="B532" s="1">
        <v>45963</v>
      </c>
      <c r="C532" s="3" t="s">
        <v>151</v>
      </c>
      <c r="D532" s="3" t="s">
        <v>7</v>
      </c>
      <c r="E532" t="s">
        <v>247</v>
      </c>
      <c r="F532" t="s">
        <v>15</v>
      </c>
      <c r="G532" t="str">
        <f>IF(ISBLANK(Table1[[#This Row],[State]]),"Unknown",Table1[[#This Row],[State]])</f>
        <v>Maharashtra</v>
      </c>
      <c r="H532" t="s">
        <v>2</v>
      </c>
      <c r="I532" t="s">
        <v>24</v>
      </c>
      <c r="J532" t="str">
        <f>IF(ISBLANK(Table1[[#This Row],[Product]]),"Unknown",Table1[[#This Row],[Product]])</f>
        <v>Jeans</v>
      </c>
      <c r="K532" s="3">
        <v>3</v>
      </c>
      <c r="L532" s="10">
        <v>1299</v>
      </c>
      <c r="M532" t="s">
        <v>11</v>
      </c>
      <c r="N532" t="str">
        <f>IF(ISBLANK(Table1[[#This Row],[Payment method]]),"Unknown",Table1[[#This Row],[Payment method]])</f>
        <v>Cash on Delivery</v>
      </c>
      <c r="O532" t="s">
        <v>5</v>
      </c>
      <c r="P532" t="str">
        <f>IF(Table1[[#This Row],[Unit price]]&gt;2000,"High Price","Standard Price")</f>
        <v>Standard Price</v>
      </c>
    </row>
    <row r="533" spans="1:16" x14ac:dyDescent="0.3">
      <c r="A533" s="3">
        <v>10532</v>
      </c>
      <c r="B533" s="1">
        <v>45763</v>
      </c>
      <c r="C533" s="3" t="s">
        <v>214</v>
      </c>
      <c r="D533" s="3" t="s">
        <v>39</v>
      </c>
      <c r="E533" t="s">
        <v>35</v>
      </c>
      <c r="F533" t="s">
        <v>36</v>
      </c>
      <c r="G533" t="str">
        <f>IF(ISBLANK(Table1[[#This Row],[State]]),"Unknown",Table1[[#This Row],[State]])</f>
        <v>Maharastra</v>
      </c>
      <c r="H533" t="s">
        <v>2</v>
      </c>
      <c r="I533" t="s">
        <v>24</v>
      </c>
      <c r="J533" t="str">
        <f>IF(ISBLANK(Table1[[#This Row],[Product]]),"Unknown",Table1[[#This Row],[Product]])</f>
        <v>Jeans</v>
      </c>
      <c r="K533" s="3">
        <v>1</v>
      </c>
      <c r="L533" s="10">
        <v>799</v>
      </c>
      <c r="N533" t="str">
        <f>IF(ISBLANK(Table1[[#This Row],[Payment method]]),"Unknown",Table1[[#This Row],[Payment method]])</f>
        <v>Unknown</v>
      </c>
      <c r="O533" t="s">
        <v>58</v>
      </c>
      <c r="P533" t="str">
        <f>IF(Table1[[#This Row],[Unit price]]&gt;2000,"High Price","Standard Price")</f>
        <v>Standard Price</v>
      </c>
    </row>
    <row r="534" spans="1:16" x14ac:dyDescent="0.3">
      <c r="A534" s="3">
        <v>10533</v>
      </c>
      <c r="B534" s="1">
        <v>45687</v>
      </c>
      <c r="C534" s="3" t="s">
        <v>102</v>
      </c>
      <c r="D534" s="3" t="s">
        <v>57</v>
      </c>
      <c r="E534" t="s">
        <v>35</v>
      </c>
      <c r="F534" t="s">
        <v>36</v>
      </c>
      <c r="G534" t="str">
        <f>IF(ISBLANK(Table1[[#This Row],[State]]),"Unknown",Table1[[#This Row],[State]])</f>
        <v>Maharastra</v>
      </c>
      <c r="H534" t="s">
        <v>33</v>
      </c>
      <c r="I534" t="s">
        <v>21</v>
      </c>
      <c r="J534" t="str">
        <f>IF(ISBLANK(Table1[[#This Row],[Product]]),"Unknown",Table1[[#This Row],[Product]])</f>
        <v>Headphones</v>
      </c>
      <c r="K534" s="3">
        <v>3</v>
      </c>
      <c r="L534" s="10">
        <v>799</v>
      </c>
      <c r="M534" t="s">
        <v>11</v>
      </c>
      <c r="N534" t="str">
        <f>IF(ISBLANK(Table1[[#This Row],[Payment method]]),"Unknown",Table1[[#This Row],[Payment method]])</f>
        <v>Cash on Delivery</v>
      </c>
      <c r="O534" t="s">
        <v>5</v>
      </c>
      <c r="P534" t="str">
        <f>IF(Table1[[#This Row],[Unit price]]&gt;2000,"High Price","Standard Price")</f>
        <v>Standard Price</v>
      </c>
    </row>
    <row r="535" spans="1:16" x14ac:dyDescent="0.3">
      <c r="A535" s="3">
        <v>10534</v>
      </c>
      <c r="B535" s="1">
        <v>45784</v>
      </c>
      <c r="C535" s="3" t="s">
        <v>218</v>
      </c>
      <c r="D535" s="3" t="s">
        <v>39</v>
      </c>
      <c r="E535" t="s">
        <v>32</v>
      </c>
      <c r="F535" t="s">
        <v>15</v>
      </c>
      <c r="G535" t="str">
        <f>IF(ISBLANK(Table1[[#This Row],[State]]),"Unknown",Table1[[#This Row],[State]])</f>
        <v>Maharashtra</v>
      </c>
      <c r="H535" t="s">
        <v>2</v>
      </c>
      <c r="I535" t="s">
        <v>3</v>
      </c>
      <c r="J535" t="str">
        <f>IF(ISBLANK(Table1[[#This Row],[Product]]),"Unknown",Table1[[#This Row],[Product]])</f>
        <v>T-Shirt</v>
      </c>
      <c r="K535" s="3">
        <v>5</v>
      </c>
      <c r="L535" s="10">
        <v>299</v>
      </c>
      <c r="M535" t="s">
        <v>4</v>
      </c>
      <c r="N535" t="str">
        <f>IF(ISBLANK(Table1[[#This Row],[Payment method]]),"Unknown",Table1[[#This Row],[Payment method]])</f>
        <v>Net Banking</v>
      </c>
      <c r="O535" t="s">
        <v>58</v>
      </c>
      <c r="P535" t="str">
        <f>IF(Table1[[#This Row],[Unit price]]&gt;2000,"High Price","Standard Price")</f>
        <v>Standard Price</v>
      </c>
    </row>
    <row r="536" spans="1:16" x14ac:dyDescent="0.3">
      <c r="A536" s="3">
        <v>10535</v>
      </c>
      <c r="B536" s="1">
        <v>45837</v>
      </c>
      <c r="C536" s="3" t="s">
        <v>95</v>
      </c>
      <c r="D536" s="3" t="s">
        <v>19</v>
      </c>
      <c r="E536" t="s">
        <v>8</v>
      </c>
      <c r="F536" t="s">
        <v>52</v>
      </c>
      <c r="G536" t="str">
        <f>IF(ISBLANK(Table1[[#This Row],[State]]),"Unknown",Table1[[#This Row],[State]])</f>
        <v>Karnataka</v>
      </c>
      <c r="H536" t="s">
        <v>9</v>
      </c>
      <c r="I536" t="s">
        <v>10</v>
      </c>
      <c r="J536" t="str">
        <f>IF(ISBLANK(Table1[[#This Row],[Product]]),"Unknown",Table1[[#This Row],[Product]])</f>
        <v>Chair</v>
      </c>
      <c r="K536" s="3">
        <v>2</v>
      </c>
      <c r="L536" s="10">
        <v>299</v>
      </c>
      <c r="N536" t="str">
        <f>IF(ISBLANK(Table1[[#This Row],[Payment method]]),"Unknown",Table1[[#This Row],[Payment method]])</f>
        <v>Unknown</v>
      </c>
      <c r="O536" t="s">
        <v>12</v>
      </c>
      <c r="P536" t="str">
        <f>IF(Table1[[#This Row],[Unit price]]&gt;2000,"High Price","Standard Price")</f>
        <v>Standard Price</v>
      </c>
    </row>
    <row r="537" spans="1:16" x14ac:dyDescent="0.3">
      <c r="A537" s="3">
        <v>10536</v>
      </c>
      <c r="B537" s="1">
        <v>45691</v>
      </c>
      <c r="C537" s="3" t="s">
        <v>214</v>
      </c>
      <c r="D537" s="3" t="s">
        <v>43</v>
      </c>
      <c r="E537" t="s">
        <v>45</v>
      </c>
      <c r="F537" t="s">
        <v>54</v>
      </c>
      <c r="G537" t="str">
        <f>IF(ISBLANK(Table1[[#This Row],[State]]),"Unknown",Table1[[#This Row],[State]])</f>
        <v>Uttar Pradesh</v>
      </c>
      <c r="H537" t="s">
        <v>33</v>
      </c>
      <c r="I537" t="s">
        <v>37</v>
      </c>
      <c r="J537" t="str">
        <f>IF(ISBLANK(Table1[[#This Row],[Product]]),"Unknown",Table1[[#This Row],[Product]])</f>
        <v>Mouse</v>
      </c>
      <c r="K537" s="3">
        <v>4</v>
      </c>
      <c r="L537" s="10">
        <v>499</v>
      </c>
      <c r="M537" t="s">
        <v>11</v>
      </c>
      <c r="N537" t="str">
        <f>IF(ISBLANK(Table1[[#This Row],[Payment method]]),"Unknown",Table1[[#This Row],[Payment method]])</f>
        <v>Cash on Delivery</v>
      </c>
      <c r="O537" t="s">
        <v>12</v>
      </c>
      <c r="P537" t="str">
        <f>IF(Table1[[#This Row],[Unit price]]&gt;2000,"High Price","Standard Price")</f>
        <v>Standard Price</v>
      </c>
    </row>
    <row r="538" spans="1:16" x14ac:dyDescent="0.3">
      <c r="A538" s="3">
        <v>10537</v>
      </c>
      <c r="B538" s="1">
        <v>45734</v>
      </c>
      <c r="C538" s="3" t="s">
        <v>60</v>
      </c>
      <c r="D538" s="3" t="s">
        <v>43</v>
      </c>
      <c r="E538" t="s">
        <v>35</v>
      </c>
      <c r="F538" t="s">
        <v>36</v>
      </c>
      <c r="G538" t="str">
        <f>IF(ISBLANK(Table1[[#This Row],[State]]),"Unknown",Table1[[#This Row],[State]])</f>
        <v>Maharastra</v>
      </c>
      <c r="H538" t="s">
        <v>33</v>
      </c>
      <c r="I538" t="s">
        <v>21</v>
      </c>
      <c r="J538" t="str">
        <f>IF(ISBLANK(Table1[[#This Row],[Product]]),"Unknown",Table1[[#This Row],[Product]])</f>
        <v>Headphones</v>
      </c>
      <c r="K538" s="3">
        <v>5</v>
      </c>
      <c r="L538" s="10">
        <v>1299</v>
      </c>
      <c r="N538" t="str">
        <f>IF(ISBLANK(Table1[[#This Row],[Payment method]]),"Unknown",Table1[[#This Row],[Payment method]])</f>
        <v>Unknown</v>
      </c>
      <c r="O538" t="s">
        <v>17</v>
      </c>
      <c r="P538" t="str">
        <f>IF(Table1[[#This Row],[Unit price]]&gt;2000,"High Price","Standard Price")</f>
        <v>Standard Price</v>
      </c>
    </row>
    <row r="539" spans="1:16" x14ac:dyDescent="0.3">
      <c r="A539" s="3">
        <v>10538</v>
      </c>
      <c r="B539" s="1">
        <v>45805</v>
      </c>
      <c r="C539" s="3" t="s">
        <v>126</v>
      </c>
      <c r="D539" s="3" t="s">
        <v>1</v>
      </c>
      <c r="E539" t="s">
        <v>20</v>
      </c>
      <c r="F539" t="s">
        <v>20</v>
      </c>
      <c r="G539" t="str">
        <f>IF(ISBLANK(Table1[[#This Row],[State]]),"Unknown",Table1[[#This Row],[State]])</f>
        <v>Delhi</v>
      </c>
      <c r="H539" t="s">
        <v>9</v>
      </c>
      <c r="I539" t="s">
        <v>16</v>
      </c>
      <c r="J539" t="str">
        <f>IF(ISBLANK(Table1[[#This Row],[Product]]),"Unknown",Table1[[#This Row],[Product]])</f>
        <v>Lamp</v>
      </c>
      <c r="K539" s="3">
        <v>5</v>
      </c>
      <c r="L539" s="10">
        <v>1999</v>
      </c>
      <c r="M539" t="s">
        <v>26</v>
      </c>
      <c r="N539" t="str">
        <f>IF(ISBLANK(Table1[[#This Row],[Payment method]]),"Unknown",Table1[[#This Row],[Payment method]])</f>
        <v>Card</v>
      </c>
      <c r="O539" t="s">
        <v>58</v>
      </c>
      <c r="P539" t="str">
        <f>IF(Table1[[#This Row],[Unit price]]&gt;2000,"High Price","Standard Price")</f>
        <v>Standard Price</v>
      </c>
    </row>
    <row r="540" spans="1:16" x14ac:dyDescent="0.3">
      <c r="A540" s="3">
        <v>10539</v>
      </c>
      <c r="B540" s="1">
        <v>45835</v>
      </c>
      <c r="C540" s="3" t="s">
        <v>63</v>
      </c>
      <c r="D540" s="3" t="s">
        <v>19</v>
      </c>
      <c r="E540" t="s">
        <v>8</v>
      </c>
      <c r="F540" t="s">
        <v>52</v>
      </c>
      <c r="G540" t="str">
        <f>IF(ISBLANK(Table1[[#This Row],[State]]),"Unknown",Table1[[#This Row],[State]])</f>
        <v>Karnataka</v>
      </c>
      <c r="H540" t="s">
        <v>2</v>
      </c>
      <c r="I540" t="s">
        <v>3</v>
      </c>
      <c r="J540" t="str">
        <f>IF(ISBLANK(Table1[[#This Row],[Product]]),"Unknown",Table1[[#This Row],[Product]])</f>
        <v>T-Shirt</v>
      </c>
      <c r="K540" s="3">
        <v>5</v>
      </c>
      <c r="L540" s="10">
        <v>799</v>
      </c>
      <c r="M540" t="s">
        <v>26</v>
      </c>
      <c r="N540" t="str">
        <f>IF(ISBLANK(Table1[[#This Row],[Payment method]]),"Unknown",Table1[[#This Row],[Payment method]])</f>
        <v>Card</v>
      </c>
      <c r="O540" t="s">
        <v>58</v>
      </c>
      <c r="P540" t="str">
        <f>IF(Table1[[#This Row],[Unit price]]&gt;2000,"High Price","Standard Price")</f>
        <v>Standard Price</v>
      </c>
    </row>
    <row r="541" spans="1:16" x14ac:dyDescent="0.3">
      <c r="A541" s="3">
        <v>10540</v>
      </c>
      <c r="B541" s="1">
        <v>45736</v>
      </c>
      <c r="C541" s="3" t="s">
        <v>18</v>
      </c>
      <c r="D541" s="3" t="s">
        <v>39</v>
      </c>
      <c r="E541" t="s">
        <v>32</v>
      </c>
      <c r="F541" t="s">
        <v>15</v>
      </c>
      <c r="G541" t="str">
        <f>IF(ISBLANK(Table1[[#This Row],[State]]),"Unknown",Table1[[#This Row],[State]])</f>
        <v>Maharashtra</v>
      </c>
      <c r="H541" t="s">
        <v>2</v>
      </c>
      <c r="I541" t="s">
        <v>24</v>
      </c>
      <c r="J541" t="str">
        <f>IF(ISBLANK(Table1[[#This Row],[Product]]),"Unknown",Table1[[#This Row],[Product]])</f>
        <v>Jeans</v>
      </c>
      <c r="K541" s="3">
        <v>4</v>
      </c>
      <c r="L541" s="10">
        <v>1999</v>
      </c>
      <c r="N541" t="str">
        <f>IF(ISBLANK(Table1[[#This Row],[Payment method]]),"Unknown",Table1[[#This Row],[Payment method]])</f>
        <v>Unknown</v>
      </c>
      <c r="O541" t="s">
        <v>17</v>
      </c>
      <c r="P541" t="str">
        <f>IF(Table1[[#This Row],[Unit price]]&gt;2000,"High Price","Standard Price")</f>
        <v>Standard Price</v>
      </c>
    </row>
    <row r="542" spans="1:16" x14ac:dyDescent="0.3">
      <c r="A542" s="3">
        <v>10541</v>
      </c>
      <c r="B542" s="1">
        <v>45680</v>
      </c>
      <c r="C542" s="3" t="s">
        <v>79</v>
      </c>
      <c r="D542" s="3" t="s">
        <v>39</v>
      </c>
      <c r="E542" t="s">
        <v>249</v>
      </c>
      <c r="F542" t="s">
        <v>15</v>
      </c>
      <c r="G542" t="str">
        <f>IF(ISBLANK(Table1[[#This Row],[State]]),"Unknown",Table1[[#This Row],[State]])</f>
        <v>Maharashtra</v>
      </c>
      <c r="H542" t="s">
        <v>33</v>
      </c>
      <c r="I542" t="s">
        <v>37</v>
      </c>
      <c r="J542" t="str">
        <f>IF(ISBLANK(Table1[[#This Row],[Product]]),"Unknown",Table1[[#This Row],[Product]])</f>
        <v>Mouse</v>
      </c>
      <c r="K542" s="3">
        <v>2</v>
      </c>
      <c r="L542" s="10">
        <v>499</v>
      </c>
      <c r="N542" t="str">
        <f>IF(ISBLANK(Table1[[#This Row],[Payment method]]),"Unknown",Table1[[#This Row],[Payment method]])</f>
        <v>Unknown</v>
      </c>
      <c r="O542" t="s">
        <v>12</v>
      </c>
      <c r="P542" t="str">
        <f>IF(Table1[[#This Row],[Unit price]]&gt;2000,"High Price","Standard Price")</f>
        <v>Standard Price</v>
      </c>
    </row>
    <row r="543" spans="1:16" x14ac:dyDescent="0.3">
      <c r="A543" s="3">
        <v>10542</v>
      </c>
      <c r="B543" s="1">
        <v>45783</v>
      </c>
      <c r="C543" s="3" t="s">
        <v>84</v>
      </c>
      <c r="D543" s="3" t="s">
        <v>43</v>
      </c>
      <c r="E543" t="s">
        <v>45</v>
      </c>
      <c r="F543" t="s">
        <v>54</v>
      </c>
      <c r="G543" t="str">
        <f>IF(ISBLANK(Table1[[#This Row],[State]]),"Unknown",Table1[[#This Row],[State]])</f>
        <v>Uttar Pradesh</v>
      </c>
      <c r="H543" t="s">
        <v>33</v>
      </c>
      <c r="I543" t="s">
        <v>37</v>
      </c>
      <c r="J543" t="str">
        <f>IF(ISBLANK(Table1[[#This Row],[Product]]),"Unknown",Table1[[#This Row],[Product]])</f>
        <v>Mouse</v>
      </c>
      <c r="K543" s="3">
        <v>4</v>
      </c>
      <c r="L543" s="10">
        <v>799</v>
      </c>
      <c r="M543" t="s">
        <v>4</v>
      </c>
      <c r="N543" t="str">
        <f>IF(ISBLANK(Table1[[#This Row],[Payment method]]),"Unknown",Table1[[#This Row],[Payment method]])</f>
        <v>Net Banking</v>
      </c>
      <c r="O543" t="s">
        <v>17</v>
      </c>
      <c r="P543" t="str">
        <f>IF(Table1[[#This Row],[Unit price]]&gt;2000,"High Price","Standard Price")</f>
        <v>Standard Price</v>
      </c>
    </row>
    <row r="544" spans="1:16" x14ac:dyDescent="0.3">
      <c r="A544" s="3">
        <v>10543</v>
      </c>
      <c r="B544" s="1">
        <v>45745</v>
      </c>
      <c r="C544" s="3" t="s">
        <v>196</v>
      </c>
      <c r="D544" s="3" t="s">
        <v>7</v>
      </c>
      <c r="E544" t="s">
        <v>45</v>
      </c>
      <c r="F544" t="s">
        <v>54</v>
      </c>
      <c r="G544" t="str">
        <f>IF(ISBLANK(Table1[[#This Row],[State]]),"Unknown",Table1[[#This Row],[State]])</f>
        <v>Uttar Pradesh</v>
      </c>
      <c r="H544" t="s">
        <v>33</v>
      </c>
      <c r="I544" t="s">
        <v>37</v>
      </c>
      <c r="J544" t="str">
        <f>IF(ISBLANK(Table1[[#This Row],[Product]]),"Unknown",Table1[[#This Row],[Product]])</f>
        <v>Mouse</v>
      </c>
      <c r="K544" s="3">
        <v>3</v>
      </c>
      <c r="L544" s="10">
        <v>1299</v>
      </c>
      <c r="N544" t="str">
        <f>IF(ISBLANK(Table1[[#This Row],[Payment method]]),"Unknown",Table1[[#This Row],[Payment method]])</f>
        <v>Unknown</v>
      </c>
      <c r="O544" t="s">
        <v>58</v>
      </c>
      <c r="P544" t="str">
        <f>IF(Table1[[#This Row],[Unit price]]&gt;2000,"High Price","Standard Price")</f>
        <v>Standard Price</v>
      </c>
    </row>
    <row r="545" spans="1:16" x14ac:dyDescent="0.3">
      <c r="A545" s="3">
        <v>10544</v>
      </c>
      <c r="B545" s="1">
        <v>45681</v>
      </c>
      <c r="C545" s="3" t="s">
        <v>134</v>
      </c>
      <c r="D545" s="3" t="s">
        <v>14</v>
      </c>
      <c r="E545" t="s">
        <v>247</v>
      </c>
      <c r="F545" t="s">
        <v>15</v>
      </c>
      <c r="G545" t="str">
        <f>IF(ISBLANK(Table1[[#This Row],[State]]),"Unknown",Table1[[#This Row],[State]])</f>
        <v>Maharashtra</v>
      </c>
      <c r="H545" t="s">
        <v>2</v>
      </c>
      <c r="I545" t="s">
        <v>24</v>
      </c>
      <c r="J545" t="str">
        <f>IF(ISBLANK(Table1[[#This Row],[Product]]),"Unknown",Table1[[#This Row],[Product]])</f>
        <v>Jeans</v>
      </c>
      <c r="K545" s="3">
        <v>3</v>
      </c>
      <c r="L545" s="10">
        <v>499</v>
      </c>
      <c r="N545" t="str">
        <f>IF(ISBLANK(Table1[[#This Row],[Payment method]]),"Unknown",Table1[[#This Row],[Payment method]])</f>
        <v>Unknown</v>
      </c>
      <c r="O545" t="s">
        <v>17</v>
      </c>
      <c r="P545" t="str">
        <f>IF(Table1[[#This Row],[Unit price]]&gt;2000,"High Price","Standard Price")</f>
        <v>Standard Price</v>
      </c>
    </row>
    <row r="546" spans="1:16" x14ac:dyDescent="0.3">
      <c r="A546" s="3">
        <v>10545</v>
      </c>
      <c r="B546" s="1">
        <v>45664</v>
      </c>
      <c r="C546" s="3" t="s">
        <v>133</v>
      </c>
      <c r="D546" s="3" t="s">
        <v>57</v>
      </c>
      <c r="E546" t="s">
        <v>45</v>
      </c>
      <c r="F546" t="s">
        <v>54</v>
      </c>
      <c r="G546" t="str">
        <f>IF(ISBLANK(Table1[[#This Row],[State]]),"Unknown",Table1[[#This Row],[State]])</f>
        <v>Uttar Pradesh</v>
      </c>
      <c r="H546" t="s">
        <v>33</v>
      </c>
      <c r="I546" t="s">
        <v>37</v>
      </c>
      <c r="J546" t="str">
        <f>IF(ISBLANK(Table1[[#This Row],[Product]]),"Unknown",Table1[[#This Row],[Product]])</f>
        <v>Mouse</v>
      </c>
      <c r="K546" s="3">
        <v>1</v>
      </c>
      <c r="L546" s="10">
        <v>299</v>
      </c>
      <c r="N546" t="str">
        <f>IF(ISBLANK(Table1[[#This Row],[Payment method]]),"Unknown",Table1[[#This Row],[Payment method]])</f>
        <v>Unknown</v>
      </c>
      <c r="O546" t="s">
        <v>17</v>
      </c>
      <c r="P546" t="str">
        <f>IF(Table1[[#This Row],[Unit price]]&gt;2000,"High Price","Standard Price")</f>
        <v>Standard Price</v>
      </c>
    </row>
    <row r="547" spans="1:16" x14ac:dyDescent="0.3">
      <c r="A547" s="3">
        <v>10546</v>
      </c>
      <c r="B547" s="1">
        <v>45808</v>
      </c>
      <c r="C547" s="3" t="s">
        <v>46</v>
      </c>
      <c r="D547" s="3" t="s">
        <v>23</v>
      </c>
      <c r="E547" t="s">
        <v>249</v>
      </c>
      <c r="F547" t="s">
        <v>36</v>
      </c>
      <c r="G547" t="str">
        <f>IF(ISBLANK(Table1[[#This Row],[State]]),"Unknown",Table1[[#This Row],[State]])</f>
        <v>Maharastra</v>
      </c>
      <c r="H547" t="s">
        <v>2</v>
      </c>
      <c r="I547" t="s">
        <v>3</v>
      </c>
      <c r="J547" t="str">
        <f>IF(ISBLANK(Table1[[#This Row],[Product]]),"Unknown",Table1[[#This Row],[Product]])</f>
        <v>T-Shirt</v>
      </c>
      <c r="K547" s="3">
        <v>5</v>
      </c>
      <c r="L547" s="10">
        <v>499</v>
      </c>
      <c r="M547" t="s">
        <v>26</v>
      </c>
      <c r="N547" t="str">
        <f>IF(ISBLANK(Table1[[#This Row],[Payment method]]),"Unknown",Table1[[#This Row],[Payment method]])</f>
        <v>Card</v>
      </c>
      <c r="O547" t="s">
        <v>58</v>
      </c>
      <c r="P547" t="str">
        <f>IF(Table1[[#This Row],[Unit price]]&gt;2000,"High Price","Standard Price")</f>
        <v>Standard Price</v>
      </c>
    </row>
    <row r="548" spans="1:16" x14ac:dyDescent="0.3">
      <c r="A548" s="3">
        <v>10547</v>
      </c>
      <c r="B548" s="1">
        <v>45739</v>
      </c>
      <c r="C548" s="3" t="s">
        <v>147</v>
      </c>
      <c r="D548" s="3" t="s">
        <v>14</v>
      </c>
      <c r="E548" t="s">
        <v>8</v>
      </c>
      <c r="F548" t="s">
        <v>52</v>
      </c>
      <c r="G548" t="str">
        <f>IF(ISBLANK(Table1[[#This Row],[State]]),"Unknown",Table1[[#This Row],[State]])</f>
        <v>Karnataka</v>
      </c>
      <c r="H548" t="s">
        <v>33</v>
      </c>
      <c r="I548" t="s">
        <v>37</v>
      </c>
      <c r="J548" t="str">
        <f>IF(ISBLANK(Table1[[#This Row],[Product]]),"Unknown",Table1[[#This Row],[Product]])</f>
        <v>Mouse</v>
      </c>
      <c r="K548" s="3">
        <v>2</v>
      </c>
      <c r="L548" s="10">
        <v>299</v>
      </c>
      <c r="N548" t="str">
        <f>IF(ISBLANK(Table1[[#This Row],[Payment method]]),"Unknown",Table1[[#This Row],[Payment method]])</f>
        <v>Unknown</v>
      </c>
      <c r="O548" t="s">
        <v>12</v>
      </c>
      <c r="P548" t="str">
        <f>IF(Table1[[#This Row],[Unit price]]&gt;2000,"High Price","Standard Price")</f>
        <v>Standard Price</v>
      </c>
    </row>
    <row r="549" spans="1:16" x14ac:dyDescent="0.3">
      <c r="A549" s="3">
        <v>10548</v>
      </c>
      <c r="B549" s="1">
        <v>45789</v>
      </c>
      <c r="C549" s="3" t="s">
        <v>225</v>
      </c>
      <c r="D549" s="3" t="s">
        <v>19</v>
      </c>
      <c r="E549" t="s">
        <v>45</v>
      </c>
      <c r="F549" t="s">
        <v>54</v>
      </c>
      <c r="G549" t="str">
        <f>IF(ISBLANK(Table1[[#This Row],[State]]),"Unknown",Table1[[#This Row],[State]])</f>
        <v>Uttar Pradesh</v>
      </c>
      <c r="H549" t="s">
        <v>33</v>
      </c>
      <c r="I549" t="s">
        <v>49</v>
      </c>
      <c r="J549" t="str">
        <f>IF(ISBLANK(Table1[[#This Row],[Product]]),"Unknown",Table1[[#This Row],[Product]])</f>
        <v>Keyboard</v>
      </c>
      <c r="K549" s="3">
        <v>5</v>
      </c>
      <c r="L549" s="10">
        <v>299</v>
      </c>
      <c r="N549" t="str">
        <f>IF(ISBLANK(Table1[[#This Row],[Payment method]]),"Unknown",Table1[[#This Row],[Payment method]])</f>
        <v>Unknown</v>
      </c>
      <c r="O549" t="s">
        <v>58</v>
      </c>
      <c r="P549" t="str">
        <f>IF(Table1[[#This Row],[Unit price]]&gt;2000,"High Price","Standard Price")</f>
        <v>Standard Price</v>
      </c>
    </row>
    <row r="550" spans="1:16" x14ac:dyDescent="0.3">
      <c r="A550" s="3">
        <v>10549</v>
      </c>
      <c r="B550" s="1">
        <v>45779</v>
      </c>
      <c r="C550" s="3" t="s">
        <v>199</v>
      </c>
      <c r="D550" s="3" t="s">
        <v>19</v>
      </c>
      <c r="E550" t="s">
        <v>249</v>
      </c>
      <c r="F550" t="s">
        <v>15</v>
      </c>
      <c r="G550" t="str">
        <f>IF(ISBLANK(Table1[[#This Row],[State]]),"Unknown",Table1[[#This Row],[State]])</f>
        <v>Maharashtra</v>
      </c>
      <c r="H550" t="s">
        <v>2</v>
      </c>
      <c r="I550" t="s">
        <v>24</v>
      </c>
      <c r="J550" t="str">
        <f>IF(ISBLANK(Table1[[#This Row],[Product]]),"Unknown",Table1[[#This Row],[Product]])</f>
        <v>Jeans</v>
      </c>
      <c r="K550" s="3">
        <v>5</v>
      </c>
      <c r="L550" s="10">
        <v>1299</v>
      </c>
      <c r="M550" t="s">
        <v>4</v>
      </c>
      <c r="N550" t="str">
        <f>IF(ISBLANK(Table1[[#This Row],[Payment method]]),"Unknown",Table1[[#This Row],[Payment method]])</f>
        <v>Net Banking</v>
      </c>
      <c r="O550" t="s">
        <v>58</v>
      </c>
      <c r="P550" t="str">
        <f>IF(Table1[[#This Row],[Unit price]]&gt;2000,"High Price","Standard Price")</f>
        <v>Standard Price</v>
      </c>
    </row>
    <row r="551" spans="1:16" x14ac:dyDescent="0.3">
      <c r="A551" s="3">
        <v>10550</v>
      </c>
      <c r="B551" s="1">
        <v>45720</v>
      </c>
      <c r="C551" s="3" t="s">
        <v>82</v>
      </c>
      <c r="D551" s="3" t="s">
        <v>14</v>
      </c>
      <c r="E551" t="s">
        <v>35</v>
      </c>
      <c r="F551" t="s">
        <v>36</v>
      </c>
      <c r="G551" t="str">
        <f>IF(ISBLANK(Table1[[#This Row],[State]]),"Unknown",Table1[[#This Row],[State]])</f>
        <v>Maharastra</v>
      </c>
      <c r="H551" t="s">
        <v>9</v>
      </c>
      <c r="I551" t="s">
        <v>10</v>
      </c>
      <c r="J551" t="str">
        <f>IF(ISBLANK(Table1[[#This Row],[Product]]),"Unknown",Table1[[#This Row],[Product]])</f>
        <v>Chair</v>
      </c>
      <c r="K551" s="3">
        <v>3</v>
      </c>
      <c r="L551" s="10">
        <v>799</v>
      </c>
      <c r="N551" t="str">
        <f>IF(ISBLANK(Table1[[#This Row],[Payment method]]),"Unknown",Table1[[#This Row],[Payment method]])</f>
        <v>Unknown</v>
      </c>
      <c r="O551" t="s">
        <v>17</v>
      </c>
      <c r="P551" t="str">
        <f>IF(Table1[[#This Row],[Unit price]]&gt;2000,"High Price","Standard Price")</f>
        <v>Standard Price</v>
      </c>
    </row>
    <row r="552" spans="1:16" x14ac:dyDescent="0.3">
      <c r="A552" s="3">
        <v>10551</v>
      </c>
      <c r="B552" s="1">
        <v>45738</v>
      </c>
      <c r="C552" s="3" t="s">
        <v>121</v>
      </c>
      <c r="D552" s="3" t="s">
        <v>57</v>
      </c>
      <c r="E552" t="s">
        <v>8</v>
      </c>
      <c r="F552" t="s">
        <v>52</v>
      </c>
      <c r="G552" t="str">
        <f>IF(ISBLANK(Table1[[#This Row],[State]]),"Unknown",Table1[[#This Row],[State]])</f>
        <v>Karnataka</v>
      </c>
      <c r="H552" t="s">
        <v>33</v>
      </c>
      <c r="I552" t="s">
        <v>21</v>
      </c>
      <c r="J552" t="str">
        <f>IF(ISBLANK(Table1[[#This Row],[Product]]),"Unknown",Table1[[#This Row],[Product]])</f>
        <v>Headphones</v>
      </c>
      <c r="K552" s="3">
        <v>3</v>
      </c>
      <c r="L552" s="10">
        <v>1299</v>
      </c>
      <c r="N552" t="str">
        <f>IF(ISBLANK(Table1[[#This Row],[Payment method]]),"Unknown",Table1[[#This Row],[Payment method]])</f>
        <v>Unknown</v>
      </c>
      <c r="O552" t="s">
        <v>5</v>
      </c>
      <c r="P552" t="str">
        <f>IF(Table1[[#This Row],[Unit price]]&gt;2000,"High Price","Standard Price")</f>
        <v>Standard Price</v>
      </c>
    </row>
    <row r="553" spans="1:16" x14ac:dyDescent="0.3">
      <c r="A553" s="3">
        <v>10552</v>
      </c>
      <c r="B553" s="1">
        <v>45674</v>
      </c>
      <c r="C553" s="3" t="s">
        <v>86</v>
      </c>
      <c r="D553" s="3" t="s">
        <v>23</v>
      </c>
      <c r="E553" t="s">
        <v>8</v>
      </c>
      <c r="F553" t="s">
        <v>52</v>
      </c>
      <c r="G553" t="str">
        <f>IF(ISBLANK(Table1[[#This Row],[State]]),"Unknown",Table1[[#This Row],[State]])</f>
        <v>Karnataka</v>
      </c>
      <c r="H553" t="s">
        <v>9</v>
      </c>
      <c r="I553" t="s">
        <v>16</v>
      </c>
      <c r="J553" t="str">
        <f>IF(ISBLANK(Table1[[#This Row],[Product]]),"Unknown",Table1[[#This Row],[Product]])</f>
        <v>Lamp</v>
      </c>
      <c r="K553" s="3">
        <v>3</v>
      </c>
      <c r="L553" s="10">
        <v>799</v>
      </c>
      <c r="M553" t="s">
        <v>4</v>
      </c>
      <c r="N553" t="str">
        <f>IF(ISBLANK(Table1[[#This Row],[Payment method]]),"Unknown",Table1[[#This Row],[Payment method]])</f>
        <v>Net Banking</v>
      </c>
      <c r="O553" t="s">
        <v>17</v>
      </c>
      <c r="P553" t="str">
        <f>IF(Table1[[#This Row],[Unit price]]&gt;2000,"High Price","Standard Price")</f>
        <v>Standard Price</v>
      </c>
    </row>
    <row r="554" spans="1:16" x14ac:dyDescent="0.3">
      <c r="A554" s="3">
        <v>10553</v>
      </c>
      <c r="B554" s="1">
        <v>45659</v>
      </c>
      <c r="C554" s="3" t="s">
        <v>177</v>
      </c>
      <c r="D554" s="3" t="s">
        <v>19</v>
      </c>
      <c r="E554" t="s">
        <v>20</v>
      </c>
      <c r="F554" t="s">
        <v>20</v>
      </c>
      <c r="G554" t="str">
        <f>IF(ISBLANK(Table1[[#This Row],[State]]),"Unknown",Table1[[#This Row],[State]])</f>
        <v>Delhi</v>
      </c>
      <c r="H554" t="s">
        <v>33</v>
      </c>
      <c r="I554" t="s">
        <v>21</v>
      </c>
      <c r="J554" t="str">
        <f>IF(ISBLANK(Table1[[#This Row],[Product]]),"Unknown",Table1[[#This Row],[Product]])</f>
        <v>Headphones</v>
      </c>
      <c r="K554" s="3">
        <v>4</v>
      </c>
      <c r="L554" s="10">
        <v>499</v>
      </c>
      <c r="M554" t="s">
        <v>4</v>
      </c>
      <c r="N554" t="str">
        <f>IF(ISBLANK(Table1[[#This Row],[Payment method]]),"Unknown",Table1[[#This Row],[Payment method]])</f>
        <v>Net Banking</v>
      </c>
      <c r="O554" t="s">
        <v>58</v>
      </c>
      <c r="P554" t="str">
        <f>IF(Table1[[#This Row],[Unit price]]&gt;2000,"High Price","Standard Price")</f>
        <v>Standard Price</v>
      </c>
    </row>
    <row r="555" spans="1:16" x14ac:dyDescent="0.3">
      <c r="A555" s="3">
        <v>10554</v>
      </c>
      <c r="B555" s="1">
        <v>45778</v>
      </c>
      <c r="C555" s="3" t="s">
        <v>226</v>
      </c>
      <c r="D555" s="3" t="s">
        <v>39</v>
      </c>
      <c r="E555" t="s">
        <v>35</v>
      </c>
      <c r="F555" t="s">
        <v>15</v>
      </c>
      <c r="G555" t="str">
        <f>IF(ISBLANK(Table1[[#This Row],[State]]),"Unknown",Table1[[#This Row],[State]])</f>
        <v>Maharashtra</v>
      </c>
      <c r="H555" t="s">
        <v>9</v>
      </c>
      <c r="I555" t="s">
        <v>10</v>
      </c>
      <c r="J555" t="str">
        <f>IF(ISBLANK(Table1[[#This Row],[Product]]),"Unknown",Table1[[#This Row],[Product]])</f>
        <v>Chair</v>
      </c>
      <c r="K555" s="3">
        <v>5</v>
      </c>
      <c r="L555" s="10">
        <v>799</v>
      </c>
      <c r="M555" t="s">
        <v>4</v>
      </c>
      <c r="N555" t="str">
        <f>IF(ISBLANK(Table1[[#This Row],[Payment method]]),"Unknown",Table1[[#This Row],[Payment method]])</f>
        <v>Net Banking</v>
      </c>
      <c r="O555" t="s">
        <v>58</v>
      </c>
      <c r="P555" t="str">
        <f>IF(Table1[[#This Row],[Unit price]]&gt;2000,"High Price","Standard Price")</f>
        <v>Standard Price</v>
      </c>
    </row>
    <row r="556" spans="1:16" x14ac:dyDescent="0.3">
      <c r="A556" s="3">
        <v>10555</v>
      </c>
      <c r="B556" s="1">
        <v>45764</v>
      </c>
      <c r="C556" s="3" t="s">
        <v>18</v>
      </c>
      <c r="D556" s="3" t="s">
        <v>7</v>
      </c>
      <c r="E556" t="s">
        <v>20</v>
      </c>
      <c r="F556" t="s">
        <v>20</v>
      </c>
      <c r="G556" t="str">
        <f>IF(ISBLANK(Table1[[#This Row],[State]]),"Unknown",Table1[[#This Row],[State]])</f>
        <v>Delhi</v>
      </c>
      <c r="H556" t="s">
        <v>9</v>
      </c>
      <c r="I556" t="s">
        <v>10</v>
      </c>
      <c r="J556" t="str">
        <f>IF(ISBLANK(Table1[[#This Row],[Product]]),"Unknown",Table1[[#This Row],[Product]])</f>
        <v>Chair</v>
      </c>
      <c r="K556" s="3">
        <v>5</v>
      </c>
      <c r="L556" s="10">
        <v>499</v>
      </c>
      <c r="N556" t="str">
        <f>IF(ISBLANK(Table1[[#This Row],[Payment method]]),"Unknown",Table1[[#This Row],[Payment method]])</f>
        <v>Unknown</v>
      </c>
      <c r="O556" t="s">
        <v>17</v>
      </c>
      <c r="P556" t="str">
        <f>IF(Table1[[#This Row],[Unit price]]&gt;2000,"High Price","Standard Price")</f>
        <v>Standard Price</v>
      </c>
    </row>
    <row r="557" spans="1:16" x14ac:dyDescent="0.3">
      <c r="A557" s="3">
        <v>10556</v>
      </c>
      <c r="B557" s="1">
        <v>45761</v>
      </c>
      <c r="C557" s="3" t="s">
        <v>185</v>
      </c>
      <c r="D557" s="3" t="s">
        <v>14</v>
      </c>
      <c r="E557" t="s">
        <v>45</v>
      </c>
      <c r="F557" t="s">
        <v>54</v>
      </c>
      <c r="G557" t="str">
        <f>IF(ISBLANK(Table1[[#This Row],[State]]),"Unknown",Table1[[#This Row],[State]])</f>
        <v>Uttar Pradesh</v>
      </c>
      <c r="H557" t="s">
        <v>2</v>
      </c>
      <c r="I557" t="s">
        <v>24</v>
      </c>
      <c r="J557" t="str">
        <f>IF(ISBLANK(Table1[[#This Row],[Product]]),"Unknown",Table1[[#This Row],[Product]])</f>
        <v>Jeans</v>
      </c>
      <c r="K557" s="3">
        <v>3</v>
      </c>
      <c r="L557" s="10">
        <v>299</v>
      </c>
      <c r="N557" t="str">
        <f>IF(ISBLANK(Table1[[#This Row],[Payment method]]),"Unknown",Table1[[#This Row],[Payment method]])</f>
        <v>Unknown</v>
      </c>
      <c r="O557" t="s">
        <v>5</v>
      </c>
      <c r="P557" t="str">
        <f>IF(Table1[[#This Row],[Unit price]]&gt;2000,"High Price","Standard Price")</f>
        <v>Standard Price</v>
      </c>
    </row>
    <row r="558" spans="1:16" x14ac:dyDescent="0.3">
      <c r="A558" s="3">
        <v>10557</v>
      </c>
      <c r="B558" s="1">
        <v>45663</v>
      </c>
      <c r="C558" s="3" t="s">
        <v>119</v>
      </c>
      <c r="D558" s="3" t="s">
        <v>43</v>
      </c>
      <c r="E558" t="s">
        <v>45</v>
      </c>
      <c r="F558" t="s">
        <v>54</v>
      </c>
      <c r="G558" t="str">
        <f>IF(ISBLANK(Table1[[#This Row],[State]]),"Unknown",Table1[[#This Row],[State]])</f>
        <v>Uttar Pradesh</v>
      </c>
      <c r="H558" t="s">
        <v>9</v>
      </c>
      <c r="I558" t="s">
        <v>10</v>
      </c>
      <c r="J558" t="str">
        <f>IF(ISBLANK(Table1[[#This Row],[Product]]),"Unknown",Table1[[#This Row],[Product]])</f>
        <v>Chair</v>
      </c>
      <c r="K558" s="3">
        <v>3</v>
      </c>
      <c r="L558" s="10">
        <v>999999</v>
      </c>
      <c r="N558" t="str">
        <f>IF(ISBLANK(Table1[[#This Row],[Payment method]]),"Unknown",Table1[[#This Row],[Payment method]])</f>
        <v>Unknown</v>
      </c>
      <c r="O558" t="s">
        <v>5</v>
      </c>
      <c r="P558" t="str">
        <f>IF(Table1[[#This Row],[Unit price]]&gt;2000,"High Price","Standard Price")</f>
        <v>High Price</v>
      </c>
    </row>
    <row r="559" spans="1:16" x14ac:dyDescent="0.3">
      <c r="A559" s="3">
        <v>10558</v>
      </c>
      <c r="B559" s="1">
        <v>45659</v>
      </c>
      <c r="C559" s="3" t="s">
        <v>98</v>
      </c>
      <c r="D559" s="3" t="s">
        <v>14</v>
      </c>
      <c r="E559" t="s">
        <v>20</v>
      </c>
      <c r="F559" t="s">
        <v>20</v>
      </c>
      <c r="G559" t="str">
        <f>IF(ISBLANK(Table1[[#This Row],[State]]),"Unknown",Table1[[#This Row],[State]])</f>
        <v>Delhi</v>
      </c>
      <c r="H559" t="s">
        <v>33</v>
      </c>
      <c r="J559" t="str">
        <f>IF(ISBLANK(Table1[[#This Row],[Product]]),"Unknown",Table1[[#This Row],[Product]])</f>
        <v>Unknown</v>
      </c>
      <c r="K559" s="3">
        <v>5</v>
      </c>
      <c r="L559" s="10">
        <v>1299</v>
      </c>
      <c r="M559" t="s">
        <v>4</v>
      </c>
      <c r="N559" t="str">
        <f>IF(ISBLANK(Table1[[#This Row],[Payment method]]),"Unknown",Table1[[#This Row],[Payment method]])</f>
        <v>Net Banking</v>
      </c>
      <c r="O559" t="s">
        <v>12</v>
      </c>
      <c r="P559" t="str">
        <f>IF(Table1[[#This Row],[Unit price]]&gt;2000,"High Price","Standard Price")</f>
        <v>Standard Price</v>
      </c>
    </row>
    <row r="560" spans="1:16" x14ac:dyDescent="0.3">
      <c r="A560" s="3">
        <v>10559</v>
      </c>
      <c r="B560" s="1">
        <v>45717</v>
      </c>
      <c r="C560" s="3" t="s">
        <v>98</v>
      </c>
      <c r="D560" s="3" t="s">
        <v>39</v>
      </c>
      <c r="E560" t="s">
        <v>35</v>
      </c>
      <c r="F560" t="s">
        <v>15</v>
      </c>
      <c r="G560" t="str">
        <f>IF(ISBLANK(Table1[[#This Row],[State]]),"Unknown",Table1[[#This Row],[State]])</f>
        <v>Maharashtra</v>
      </c>
      <c r="H560" t="s">
        <v>2</v>
      </c>
      <c r="I560" t="s">
        <v>24</v>
      </c>
      <c r="J560" t="str">
        <f>IF(ISBLANK(Table1[[#This Row],[Product]]),"Unknown",Table1[[#This Row],[Product]])</f>
        <v>Jeans</v>
      </c>
      <c r="K560" s="3">
        <v>1</v>
      </c>
      <c r="L560" s="10">
        <v>1999</v>
      </c>
      <c r="M560" t="s">
        <v>26</v>
      </c>
      <c r="N560" t="str">
        <f>IF(ISBLANK(Table1[[#This Row],[Payment method]]),"Unknown",Table1[[#This Row],[Payment method]])</f>
        <v>Card</v>
      </c>
      <c r="O560" t="s">
        <v>58</v>
      </c>
      <c r="P560" t="str">
        <f>IF(Table1[[#This Row],[Unit price]]&gt;2000,"High Price","Standard Price")</f>
        <v>Standard Price</v>
      </c>
    </row>
    <row r="561" spans="1:16" x14ac:dyDescent="0.3">
      <c r="A561" s="3">
        <v>10560</v>
      </c>
      <c r="B561" s="1">
        <v>45801</v>
      </c>
      <c r="C561" s="3" t="s">
        <v>92</v>
      </c>
      <c r="D561" s="3" t="s">
        <v>14</v>
      </c>
      <c r="E561" t="s">
        <v>8</v>
      </c>
      <c r="G561" t="str">
        <f>IF(ISBLANK(Table1[[#This Row],[State]]),"Unknown",Table1[[#This Row],[State]])</f>
        <v>Unknown</v>
      </c>
      <c r="H561" t="s">
        <v>9</v>
      </c>
      <c r="I561" t="s">
        <v>10</v>
      </c>
      <c r="J561" t="str">
        <f>IF(ISBLANK(Table1[[#This Row],[Product]]),"Unknown",Table1[[#This Row],[Product]])</f>
        <v>Chair</v>
      </c>
      <c r="K561" s="3">
        <v>3</v>
      </c>
      <c r="L561" s="10">
        <v>499</v>
      </c>
      <c r="M561" t="s">
        <v>4</v>
      </c>
      <c r="N561" t="str">
        <f>IF(ISBLANK(Table1[[#This Row],[Payment method]]),"Unknown",Table1[[#This Row],[Payment method]])</f>
        <v>Net Banking</v>
      </c>
      <c r="O561" t="s">
        <v>17</v>
      </c>
      <c r="P561" t="str">
        <f>IF(Table1[[#This Row],[Unit price]]&gt;2000,"High Price","Standard Price")</f>
        <v>Standard Price</v>
      </c>
    </row>
    <row r="562" spans="1:16" x14ac:dyDescent="0.3">
      <c r="A562" s="3">
        <v>10561</v>
      </c>
      <c r="B562" s="1">
        <v>45728</v>
      </c>
      <c r="C562" s="3" t="s">
        <v>41</v>
      </c>
      <c r="D562" s="3" t="s">
        <v>43</v>
      </c>
      <c r="E562" t="s">
        <v>20</v>
      </c>
      <c r="F562" t="s">
        <v>20</v>
      </c>
      <c r="G562" t="str">
        <f>IF(ISBLANK(Table1[[#This Row],[State]]),"Unknown",Table1[[#This Row],[State]])</f>
        <v>Delhi</v>
      </c>
      <c r="H562" t="s">
        <v>33</v>
      </c>
      <c r="I562" t="s">
        <v>49</v>
      </c>
      <c r="J562" t="str">
        <f>IF(ISBLANK(Table1[[#This Row],[Product]]),"Unknown",Table1[[#This Row],[Product]])</f>
        <v>Keyboard</v>
      </c>
      <c r="K562" s="3">
        <v>3</v>
      </c>
      <c r="L562" s="10">
        <v>799</v>
      </c>
      <c r="N562" t="str">
        <f>IF(ISBLANK(Table1[[#This Row],[Payment method]]),"Unknown",Table1[[#This Row],[Payment method]])</f>
        <v>Unknown</v>
      </c>
      <c r="O562" t="s">
        <v>58</v>
      </c>
      <c r="P562" t="str">
        <f>IF(Table1[[#This Row],[Unit price]]&gt;2000,"High Price","Standard Price")</f>
        <v>Standard Price</v>
      </c>
    </row>
    <row r="563" spans="1:16" x14ac:dyDescent="0.3">
      <c r="A563" s="3">
        <v>10562</v>
      </c>
      <c r="B563" s="1">
        <v>45802</v>
      </c>
      <c r="C563" s="3" t="s">
        <v>227</v>
      </c>
      <c r="D563" s="3" t="s">
        <v>7</v>
      </c>
      <c r="E563" t="s">
        <v>20</v>
      </c>
      <c r="F563" t="s">
        <v>20</v>
      </c>
      <c r="G563" t="str">
        <f>IF(ISBLANK(Table1[[#This Row],[State]]),"Unknown",Table1[[#This Row],[State]])</f>
        <v>Delhi</v>
      </c>
      <c r="H563" t="s">
        <v>9</v>
      </c>
      <c r="I563" t="s">
        <v>10</v>
      </c>
      <c r="J563" t="str">
        <f>IF(ISBLANK(Table1[[#This Row],[Product]]),"Unknown",Table1[[#This Row],[Product]])</f>
        <v>Chair</v>
      </c>
      <c r="K563" s="3">
        <v>2</v>
      </c>
      <c r="L563" s="10">
        <v>499</v>
      </c>
      <c r="N563" t="str">
        <f>IF(ISBLANK(Table1[[#This Row],[Payment method]]),"Unknown",Table1[[#This Row],[Payment method]])</f>
        <v>Unknown</v>
      </c>
      <c r="O563" t="s">
        <v>5</v>
      </c>
      <c r="P563" t="str">
        <f>IF(Table1[[#This Row],[Unit price]]&gt;2000,"High Price","Standard Price")</f>
        <v>Standard Price</v>
      </c>
    </row>
    <row r="564" spans="1:16" x14ac:dyDescent="0.3">
      <c r="A564" s="3">
        <v>10563</v>
      </c>
      <c r="B564" s="1">
        <v>45825</v>
      </c>
      <c r="C564" s="3" t="s">
        <v>210</v>
      </c>
      <c r="D564" s="3" t="s">
        <v>14</v>
      </c>
      <c r="E564" t="s">
        <v>20</v>
      </c>
      <c r="F564" t="s">
        <v>20</v>
      </c>
      <c r="G564" t="str">
        <f>IF(ISBLANK(Table1[[#This Row],[State]]),"Unknown",Table1[[#This Row],[State]])</f>
        <v>Delhi</v>
      </c>
      <c r="H564" t="s">
        <v>9</v>
      </c>
      <c r="I564" t="s">
        <v>16</v>
      </c>
      <c r="J564" t="str">
        <f>IF(ISBLANK(Table1[[#This Row],[Product]]),"Unknown",Table1[[#This Row],[Product]])</f>
        <v>Lamp</v>
      </c>
      <c r="K564" s="3">
        <v>1</v>
      </c>
      <c r="L564" s="10">
        <v>499</v>
      </c>
      <c r="M564" t="s">
        <v>4</v>
      </c>
      <c r="N564" t="str">
        <f>IF(ISBLANK(Table1[[#This Row],[Payment method]]),"Unknown",Table1[[#This Row],[Payment method]])</f>
        <v>Net Banking</v>
      </c>
      <c r="O564" t="s">
        <v>58</v>
      </c>
      <c r="P564" t="str">
        <f>IF(Table1[[#This Row],[Unit price]]&gt;2000,"High Price","Standard Price")</f>
        <v>Standard Price</v>
      </c>
    </row>
    <row r="565" spans="1:16" x14ac:dyDescent="0.3">
      <c r="A565" s="3">
        <v>10564</v>
      </c>
      <c r="B565" s="1">
        <v>45665</v>
      </c>
      <c r="C565" s="3" t="s">
        <v>68</v>
      </c>
      <c r="D565" s="3" t="s">
        <v>23</v>
      </c>
      <c r="E565" t="s">
        <v>45</v>
      </c>
      <c r="F565" t="s">
        <v>54</v>
      </c>
      <c r="G565" t="str">
        <f>IF(ISBLANK(Table1[[#This Row],[State]]),"Unknown",Table1[[#This Row],[State]])</f>
        <v>Uttar Pradesh</v>
      </c>
      <c r="H565" t="s">
        <v>33</v>
      </c>
      <c r="I565" t="s">
        <v>37</v>
      </c>
      <c r="J565" t="str">
        <f>IF(ISBLANK(Table1[[#This Row],[Product]]),"Unknown",Table1[[#This Row],[Product]])</f>
        <v>Mouse</v>
      </c>
      <c r="K565" s="3">
        <v>1</v>
      </c>
      <c r="L565" s="10">
        <v>799</v>
      </c>
      <c r="M565" t="s">
        <v>4</v>
      </c>
      <c r="N565" t="str">
        <f>IF(ISBLANK(Table1[[#This Row],[Payment method]]),"Unknown",Table1[[#This Row],[Payment method]])</f>
        <v>Net Banking</v>
      </c>
      <c r="O565" t="s">
        <v>12</v>
      </c>
      <c r="P565" t="str">
        <f>IF(Table1[[#This Row],[Unit price]]&gt;2000,"High Price","Standard Price")</f>
        <v>Standard Price</v>
      </c>
    </row>
    <row r="566" spans="1:16" x14ac:dyDescent="0.3">
      <c r="A566" s="3">
        <v>10565</v>
      </c>
      <c r="B566" s="1">
        <v>45737</v>
      </c>
      <c r="C566" s="3" t="s">
        <v>93</v>
      </c>
      <c r="D566" s="3" t="s">
        <v>43</v>
      </c>
      <c r="E566" t="s">
        <v>20</v>
      </c>
      <c r="G566" t="str">
        <f>IF(ISBLANK(Table1[[#This Row],[State]]),"Unknown",Table1[[#This Row],[State]])</f>
        <v>Unknown</v>
      </c>
      <c r="H566" t="s">
        <v>2</v>
      </c>
      <c r="I566" t="s">
        <v>24</v>
      </c>
      <c r="J566" t="str">
        <f>IF(ISBLANK(Table1[[#This Row],[Product]]),"Unknown",Table1[[#This Row],[Product]])</f>
        <v>Jeans</v>
      </c>
      <c r="K566" s="3">
        <v>0</v>
      </c>
      <c r="L566" s="10">
        <v>799</v>
      </c>
      <c r="N566" t="str">
        <f>IF(ISBLANK(Table1[[#This Row],[Payment method]]),"Unknown",Table1[[#This Row],[Payment method]])</f>
        <v>Unknown</v>
      </c>
      <c r="O566" t="s">
        <v>5</v>
      </c>
      <c r="P566" t="str">
        <f>IF(Table1[[#This Row],[Unit price]]&gt;2000,"High Price","Standard Price")</f>
        <v>Standard Price</v>
      </c>
    </row>
    <row r="567" spans="1:16" x14ac:dyDescent="0.3">
      <c r="A567" s="3">
        <v>10566</v>
      </c>
      <c r="B567" s="1">
        <v>45714</v>
      </c>
      <c r="C567" s="3" t="s">
        <v>177</v>
      </c>
      <c r="D567" s="3" t="s">
        <v>39</v>
      </c>
      <c r="E567" t="s">
        <v>35</v>
      </c>
      <c r="F567" t="s">
        <v>15</v>
      </c>
      <c r="G567" t="str">
        <f>IF(ISBLANK(Table1[[#This Row],[State]]),"Unknown",Table1[[#This Row],[State]])</f>
        <v>Maharashtra</v>
      </c>
      <c r="H567" t="s">
        <v>33</v>
      </c>
      <c r="I567" t="s">
        <v>21</v>
      </c>
      <c r="J567" t="str">
        <f>IF(ISBLANK(Table1[[#This Row],[Product]]),"Unknown",Table1[[#This Row],[Product]])</f>
        <v>Headphones</v>
      </c>
      <c r="K567" s="3">
        <v>2</v>
      </c>
      <c r="L567" s="10">
        <v>1299</v>
      </c>
      <c r="M567" t="s">
        <v>26</v>
      </c>
      <c r="N567" t="str">
        <f>IF(ISBLANK(Table1[[#This Row],[Payment method]]),"Unknown",Table1[[#This Row],[Payment method]])</f>
        <v>Card</v>
      </c>
      <c r="O567" t="s">
        <v>17</v>
      </c>
      <c r="P567" t="str">
        <f>IF(Table1[[#This Row],[Unit price]]&gt;2000,"High Price","Standard Price")</f>
        <v>Standard Price</v>
      </c>
    </row>
    <row r="568" spans="1:16" x14ac:dyDescent="0.3">
      <c r="A568" s="3">
        <v>10567</v>
      </c>
      <c r="B568" s="1">
        <v>45770</v>
      </c>
      <c r="C568" s="3" t="s">
        <v>114</v>
      </c>
      <c r="D568" s="3" t="s">
        <v>1</v>
      </c>
      <c r="E568" t="s">
        <v>20</v>
      </c>
      <c r="F568" t="s">
        <v>20</v>
      </c>
      <c r="G568" t="str">
        <f>IF(ISBLANK(Table1[[#This Row],[State]]),"Unknown",Table1[[#This Row],[State]])</f>
        <v>Delhi</v>
      </c>
      <c r="H568" t="s">
        <v>2</v>
      </c>
      <c r="I568" t="s">
        <v>24</v>
      </c>
      <c r="J568" t="str">
        <f>IF(ISBLANK(Table1[[#This Row],[Product]]),"Unknown",Table1[[#This Row],[Product]])</f>
        <v>Jeans</v>
      </c>
      <c r="K568" s="3">
        <v>5</v>
      </c>
      <c r="L568" s="10">
        <v>1999</v>
      </c>
      <c r="N568" t="str">
        <f>IF(ISBLANK(Table1[[#This Row],[Payment method]]),"Unknown",Table1[[#This Row],[Payment method]])</f>
        <v>Unknown</v>
      </c>
      <c r="O568" t="s">
        <v>17</v>
      </c>
      <c r="P568" t="str">
        <f>IF(Table1[[#This Row],[Unit price]]&gt;2000,"High Price","Standard Price")</f>
        <v>Standard Price</v>
      </c>
    </row>
    <row r="569" spans="1:16" x14ac:dyDescent="0.3">
      <c r="A569" s="3">
        <v>10568</v>
      </c>
      <c r="B569" s="1">
        <v>45822</v>
      </c>
      <c r="C569" s="3" t="s">
        <v>213</v>
      </c>
      <c r="D569" s="3" t="s">
        <v>1</v>
      </c>
      <c r="E569" t="s">
        <v>35</v>
      </c>
      <c r="F569" t="s">
        <v>15</v>
      </c>
      <c r="G569" t="str">
        <f>IF(ISBLANK(Table1[[#This Row],[State]]),"Unknown",Table1[[#This Row],[State]])</f>
        <v>Maharashtra</v>
      </c>
      <c r="H569" t="s">
        <v>9</v>
      </c>
      <c r="I569" t="s">
        <v>16</v>
      </c>
      <c r="J569" t="str">
        <f>IF(ISBLANK(Table1[[#This Row],[Product]]),"Unknown",Table1[[#This Row],[Product]])</f>
        <v>Lamp</v>
      </c>
      <c r="K569" s="3">
        <v>2</v>
      </c>
      <c r="L569" s="10">
        <v>1299</v>
      </c>
      <c r="M569" t="s">
        <v>26</v>
      </c>
      <c r="N569" t="str">
        <f>IF(ISBLANK(Table1[[#This Row],[Payment method]]),"Unknown",Table1[[#This Row],[Payment method]])</f>
        <v>Card</v>
      </c>
      <c r="O569" t="s">
        <v>12</v>
      </c>
      <c r="P569" t="str">
        <f>IF(Table1[[#This Row],[Unit price]]&gt;2000,"High Price","Standard Price")</f>
        <v>Standard Price</v>
      </c>
    </row>
    <row r="570" spans="1:16" x14ac:dyDescent="0.3">
      <c r="A570" s="3">
        <v>10569</v>
      </c>
      <c r="B570" s="1">
        <v>45818</v>
      </c>
      <c r="C570" s="3" t="s">
        <v>94</v>
      </c>
      <c r="D570" s="3" t="s">
        <v>19</v>
      </c>
      <c r="E570" t="s">
        <v>35</v>
      </c>
      <c r="F570" t="s">
        <v>36</v>
      </c>
      <c r="G570" t="str">
        <f>IF(ISBLANK(Table1[[#This Row],[State]]),"Unknown",Table1[[#This Row],[State]])</f>
        <v>Maharastra</v>
      </c>
      <c r="H570" t="s">
        <v>9</v>
      </c>
      <c r="I570" t="s">
        <v>16</v>
      </c>
      <c r="J570" t="str">
        <f>IF(ISBLANK(Table1[[#This Row],[Product]]),"Unknown",Table1[[#This Row],[Product]])</f>
        <v>Lamp</v>
      </c>
      <c r="K570" s="3">
        <v>3</v>
      </c>
      <c r="L570" s="10">
        <v>299</v>
      </c>
      <c r="M570" t="s">
        <v>26</v>
      </c>
      <c r="N570" t="str">
        <f>IF(ISBLANK(Table1[[#This Row],[Payment method]]),"Unknown",Table1[[#This Row],[Payment method]])</f>
        <v>Card</v>
      </c>
      <c r="O570" t="s">
        <v>12</v>
      </c>
      <c r="P570" t="str">
        <f>IF(Table1[[#This Row],[Unit price]]&gt;2000,"High Price","Standard Price")</f>
        <v>Standard Price</v>
      </c>
    </row>
    <row r="571" spans="1:16" x14ac:dyDescent="0.3">
      <c r="A571" s="3">
        <v>10570</v>
      </c>
      <c r="B571" s="1">
        <v>45809</v>
      </c>
      <c r="C571" s="3" t="s">
        <v>84</v>
      </c>
      <c r="D571" s="3" t="s">
        <v>43</v>
      </c>
      <c r="E571" t="s">
        <v>20</v>
      </c>
      <c r="F571" t="s">
        <v>20</v>
      </c>
      <c r="G571" t="str">
        <f>IF(ISBLANK(Table1[[#This Row],[State]]),"Unknown",Table1[[#This Row],[State]])</f>
        <v>Delhi</v>
      </c>
      <c r="H571" t="s">
        <v>2</v>
      </c>
      <c r="I571" t="s">
        <v>3</v>
      </c>
      <c r="J571" t="str">
        <f>IF(ISBLANK(Table1[[#This Row],[Product]]),"Unknown",Table1[[#This Row],[Product]])</f>
        <v>T-Shirt</v>
      </c>
      <c r="K571" s="3">
        <v>3</v>
      </c>
      <c r="L571" s="10">
        <v>1299</v>
      </c>
      <c r="M571" t="s">
        <v>26</v>
      </c>
      <c r="N571" t="str">
        <f>IF(ISBLANK(Table1[[#This Row],[Payment method]]),"Unknown",Table1[[#This Row],[Payment method]])</f>
        <v>Card</v>
      </c>
      <c r="O571" t="s">
        <v>5</v>
      </c>
      <c r="P571" t="str">
        <f>IF(Table1[[#This Row],[Unit price]]&gt;2000,"High Price","Standard Price")</f>
        <v>Standard Price</v>
      </c>
    </row>
    <row r="572" spans="1:16" x14ac:dyDescent="0.3">
      <c r="A572" s="3">
        <v>10571</v>
      </c>
      <c r="B572" s="1">
        <v>45795</v>
      </c>
      <c r="C572" s="3" t="s">
        <v>25</v>
      </c>
      <c r="D572" s="3" t="s">
        <v>1</v>
      </c>
      <c r="E572" t="s">
        <v>20</v>
      </c>
      <c r="F572" t="s">
        <v>20</v>
      </c>
      <c r="G572" t="str">
        <f>IF(ISBLANK(Table1[[#This Row],[State]]),"Unknown",Table1[[#This Row],[State]])</f>
        <v>Delhi</v>
      </c>
      <c r="H572" t="s">
        <v>33</v>
      </c>
      <c r="I572" t="s">
        <v>37</v>
      </c>
      <c r="J572" t="str">
        <f>IF(ISBLANK(Table1[[#This Row],[Product]]),"Unknown",Table1[[#This Row],[Product]])</f>
        <v>Mouse</v>
      </c>
      <c r="K572" s="3">
        <v>3</v>
      </c>
      <c r="L572" s="10">
        <v>499</v>
      </c>
      <c r="M572" t="s">
        <v>4</v>
      </c>
      <c r="N572" t="str">
        <f>IF(ISBLANK(Table1[[#This Row],[Payment method]]),"Unknown",Table1[[#This Row],[Payment method]])</f>
        <v>Net Banking</v>
      </c>
      <c r="O572" t="s">
        <v>58</v>
      </c>
      <c r="P572" t="str">
        <f>IF(Table1[[#This Row],[Unit price]]&gt;2000,"High Price","Standard Price")</f>
        <v>Standard Price</v>
      </c>
    </row>
    <row r="573" spans="1:16" x14ac:dyDescent="0.3">
      <c r="A573" s="3">
        <v>10572</v>
      </c>
      <c r="B573" s="1">
        <v>45711</v>
      </c>
      <c r="C573" s="3" t="s">
        <v>86</v>
      </c>
      <c r="D573" s="3" t="s">
        <v>1</v>
      </c>
      <c r="E573" t="s">
        <v>32</v>
      </c>
      <c r="F573" t="s">
        <v>15</v>
      </c>
      <c r="G573" t="str">
        <f>IF(ISBLANK(Table1[[#This Row],[State]]),"Unknown",Table1[[#This Row],[State]])</f>
        <v>Maharashtra</v>
      </c>
      <c r="H573" t="s">
        <v>2</v>
      </c>
      <c r="I573" t="s">
        <v>3</v>
      </c>
      <c r="J573" t="str">
        <f>IF(ISBLANK(Table1[[#This Row],[Product]]),"Unknown",Table1[[#This Row],[Product]])</f>
        <v>T-Shirt</v>
      </c>
      <c r="K573" s="3">
        <v>3</v>
      </c>
      <c r="L573" s="10">
        <v>1299</v>
      </c>
      <c r="N573" t="str">
        <f>IF(ISBLANK(Table1[[#This Row],[Payment method]]),"Unknown",Table1[[#This Row],[Payment method]])</f>
        <v>Unknown</v>
      </c>
      <c r="O573" t="s">
        <v>17</v>
      </c>
      <c r="P573" t="str">
        <f>IF(Table1[[#This Row],[Unit price]]&gt;2000,"High Price","Standard Price")</f>
        <v>Standard Price</v>
      </c>
    </row>
    <row r="574" spans="1:16" x14ac:dyDescent="0.3">
      <c r="A574" s="3">
        <v>10573</v>
      </c>
      <c r="B574" s="1">
        <v>45798</v>
      </c>
      <c r="C574" s="3" t="s">
        <v>101</v>
      </c>
      <c r="D574" s="3" t="s">
        <v>1</v>
      </c>
      <c r="E574" t="s">
        <v>32</v>
      </c>
      <c r="F574" t="s">
        <v>15</v>
      </c>
      <c r="G574" t="str">
        <f>IF(ISBLANK(Table1[[#This Row],[State]]),"Unknown",Table1[[#This Row],[State]])</f>
        <v>Maharashtra</v>
      </c>
      <c r="H574" t="s">
        <v>9</v>
      </c>
      <c r="I574" t="s">
        <v>16</v>
      </c>
      <c r="J574" t="str">
        <f>IF(ISBLANK(Table1[[#This Row],[Product]]),"Unknown",Table1[[#This Row],[Product]])</f>
        <v>Lamp</v>
      </c>
      <c r="K574" s="3">
        <v>3</v>
      </c>
      <c r="L574" s="10">
        <v>299</v>
      </c>
      <c r="N574" t="str">
        <f>IF(ISBLANK(Table1[[#This Row],[Payment method]]),"Unknown",Table1[[#This Row],[Payment method]])</f>
        <v>Unknown</v>
      </c>
      <c r="O574" t="s">
        <v>5</v>
      </c>
      <c r="P574" t="str">
        <f>IF(Table1[[#This Row],[Unit price]]&gt;2000,"High Price","Standard Price")</f>
        <v>Standard Price</v>
      </c>
    </row>
    <row r="575" spans="1:16" x14ac:dyDescent="0.3">
      <c r="A575" s="3">
        <v>10574</v>
      </c>
      <c r="B575" s="1">
        <v>45753</v>
      </c>
      <c r="C575" s="3" t="s">
        <v>181</v>
      </c>
      <c r="D575" s="3" t="s">
        <v>39</v>
      </c>
      <c r="E575" t="s">
        <v>247</v>
      </c>
      <c r="F575" t="s">
        <v>15</v>
      </c>
      <c r="G575" t="str">
        <f>IF(ISBLANK(Table1[[#This Row],[State]]),"Unknown",Table1[[#This Row],[State]])</f>
        <v>Maharashtra</v>
      </c>
      <c r="H575" t="s">
        <v>9</v>
      </c>
      <c r="I575" t="s">
        <v>10</v>
      </c>
      <c r="J575" t="str">
        <f>IF(ISBLANK(Table1[[#This Row],[Product]]),"Unknown",Table1[[#This Row],[Product]])</f>
        <v>Chair</v>
      </c>
      <c r="K575" s="3">
        <v>5</v>
      </c>
      <c r="L575" s="10">
        <v>299</v>
      </c>
      <c r="M575" t="s">
        <v>4</v>
      </c>
      <c r="N575" t="str">
        <f>IF(ISBLANK(Table1[[#This Row],[Payment method]]),"Unknown",Table1[[#This Row],[Payment method]])</f>
        <v>Net Banking</v>
      </c>
      <c r="O575" t="s">
        <v>5</v>
      </c>
      <c r="P575" t="str">
        <f>IF(Table1[[#This Row],[Unit price]]&gt;2000,"High Price","Standard Price")</f>
        <v>Standard Price</v>
      </c>
    </row>
    <row r="576" spans="1:16" x14ac:dyDescent="0.3">
      <c r="A576" s="3">
        <v>10575</v>
      </c>
      <c r="B576" s="1">
        <v>45774</v>
      </c>
      <c r="C576" s="3" t="s">
        <v>151</v>
      </c>
      <c r="D576" s="3" t="s">
        <v>1</v>
      </c>
      <c r="E576" t="s">
        <v>8</v>
      </c>
      <c r="F576" t="s">
        <v>52</v>
      </c>
      <c r="G576" t="str">
        <f>IF(ISBLANK(Table1[[#This Row],[State]]),"Unknown",Table1[[#This Row],[State]])</f>
        <v>Karnataka</v>
      </c>
      <c r="H576" t="s">
        <v>9</v>
      </c>
      <c r="I576" t="s">
        <v>16</v>
      </c>
      <c r="J576" t="str">
        <f>IF(ISBLANK(Table1[[#This Row],[Product]]),"Unknown",Table1[[#This Row],[Product]])</f>
        <v>Lamp</v>
      </c>
      <c r="K576" s="3">
        <v>2</v>
      </c>
      <c r="L576" s="10">
        <v>299</v>
      </c>
      <c r="N576" t="str">
        <f>IF(ISBLANK(Table1[[#This Row],[Payment method]]),"Unknown",Table1[[#This Row],[Payment method]])</f>
        <v>Unknown</v>
      </c>
      <c r="O576" t="s">
        <v>17</v>
      </c>
      <c r="P576" t="str">
        <f>IF(Table1[[#This Row],[Unit price]]&gt;2000,"High Price","Standard Price")</f>
        <v>Standard Price</v>
      </c>
    </row>
    <row r="577" spans="1:16" x14ac:dyDescent="0.3">
      <c r="A577" s="3">
        <v>10576</v>
      </c>
      <c r="B577" s="1">
        <v>45822</v>
      </c>
      <c r="C577" s="3" t="s">
        <v>74</v>
      </c>
      <c r="D577" s="3" t="s">
        <v>57</v>
      </c>
      <c r="E577" t="s">
        <v>35</v>
      </c>
      <c r="F577" t="s">
        <v>36</v>
      </c>
      <c r="G577" t="str">
        <f>IF(ISBLANK(Table1[[#This Row],[State]]),"Unknown",Table1[[#This Row],[State]])</f>
        <v>Maharastra</v>
      </c>
      <c r="H577" t="s">
        <v>9</v>
      </c>
      <c r="I577" t="s">
        <v>10</v>
      </c>
      <c r="J577" t="str">
        <f>IF(ISBLANK(Table1[[#This Row],[Product]]),"Unknown",Table1[[#This Row],[Product]])</f>
        <v>Chair</v>
      </c>
      <c r="K577" s="3">
        <v>5</v>
      </c>
      <c r="L577" s="10">
        <v>499</v>
      </c>
      <c r="M577" t="s">
        <v>11</v>
      </c>
      <c r="N577" t="str">
        <f>IF(ISBLANK(Table1[[#This Row],[Payment method]]),"Unknown",Table1[[#This Row],[Payment method]])</f>
        <v>Cash on Delivery</v>
      </c>
      <c r="O577" t="s">
        <v>58</v>
      </c>
      <c r="P577" t="str">
        <f>IF(Table1[[#This Row],[Unit price]]&gt;2000,"High Price","Standard Price")</f>
        <v>Standard Price</v>
      </c>
    </row>
    <row r="578" spans="1:16" x14ac:dyDescent="0.3">
      <c r="A578" s="3">
        <v>10577</v>
      </c>
      <c r="B578" s="1">
        <v>45802</v>
      </c>
      <c r="C578" s="3" t="s">
        <v>149</v>
      </c>
      <c r="D578" s="3" t="s">
        <v>1</v>
      </c>
      <c r="E578" t="s">
        <v>20</v>
      </c>
      <c r="F578" t="s">
        <v>20</v>
      </c>
      <c r="G578" t="str">
        <f>IF(ISBLANK(Table1[[#This Row],[State]]),"Unknown",Table1[[#This Row],[State]])</f>
        <v>Delhi</v>
      </c>
      <c r="H578" t="s">
        <v>2</v>
      </c>
      <c r="I578" t="s">
        <v>24</v>
      </c>
      <c r="J578" t="str">
        <f>IF(ISBLANK(Table1[[#This Row],[Product]]),"Unknown",Table1[[#This Row],[Product]])</f>
        <v>Jeans</v>
      </c>
      <c r="K578" s="3">
        <v>4</v>
      </c>
      <c r="L578" s="10">
        <v>1999</v>
      </c>
      <c r="M578" t="s">
        <v>11</v>
      </c>
      <c r="N578" t="str">
        <f>IF(ISBLANK(Table1[[#This Row],[Payment method]]),"Unknown",Table1[[#This Row],[Payment method]])</f>
        <v>Cash on Delivery</v>
      </c>
      <c r="O578" t="s">
        <v>5</v>
      </c>
      <c r="P578" t="str">
        <f>IF(Table1[[#This Row],[Unit price]]&gt;2000,"High Price","Standard Price")</f>
        <v>Standard Price</v>
      </c>
    </row>
    <row r="579" spans="1:16" x14ac:dyDescent="0.3">
      <c r="A579" s="3">
        <v>10578</v>
      </c>
      <c r="B579" s="1">
        <v>45806</v>
      </c>
      <c r="C579" s="3" t="s">
        <v>175</v>
      </c>
      <c r="D579" s="3" t="s">
        <v>39</v>
      </c>
      <c r="E579" t="s">
        <v>247</v>
      </c>
      <c r="F579" t="s">
        <v>15</v>
      </c>
      <c r="G579" t="str">
        <f>IF(ISBLANK(Table1[[#This Row],[State]]),"Unknown",Table1[[#This Row],[State]])</f>
        <v>Maharashtra</v>
      </c>
      <c r="H579" t="s">
        <v>9</v>
      </c>
      <c r="I579" t="s">
        <v>10</v>
      </c>
      <c r="J579" t="str">
        <f>IF(ISBLANK(Table1[[#This Row],[Product]]),"Unknown",Table1[[#This Row],[Product]])</f>
        <v>Chair</v>
      </c>
      <c r="K579" s="3">
        <v>3</v>
      </c>
      <c r="L579" s="10">
        <v>1299</v>
      </c>
      <c r="M579" t="s">
        <v>26</v>
      </c>
      <c r="N579" t="str">
        <f>IF(ISBLANK(Table1[[#This Row],[Payment method]]),"Unknown",Table1[[#This Row],[Payment method]])</f>
        <v>Card</v>
      </c>
      <c r="O579" t="s">
        <v>5</v>
      </c>
      <c r="P579" t="str">
        <f>IF(Table1[[#This Row],[Unit price]]&gt;2000,"High Price","Standard Price")</f>
        <v>Standard Price</v>
      </c>
    </row>
    <row r="580" spans="1:16" x14ac:dyDescent="0.3">
      <c r="A580" s="3">
        <v>10579</v>
      </c>
      <c r="B580" s="1">
        <v>45746</v>
      </c>
      <c r="C580" s="3" t="s">
        <v>69</v>
      </c>
      <c r="D580" s="3" t="s">
        <v>7</v>
      </c>
      <c r="E580" t="s">
        <v>35</v>
      </c>
      <c r="F580" t="s">
        <v>15</v>
      </c>
      <c r="G580" t="str">
        <f>IF(ISBLANK(Table1[[#This Row],[State]]),"Unknown",Table1[[#This Row],[State]])</f>
        <v>Maharashtra</v>
      </c>
      <c r="H580" t="s">
        <v>9</v>
      </c>
      <c r="I580" t="s">
        <v>16</v>
      </c>
      <c r="J580" t="str">
        <f>IF(ISBLANK(Table1[[#This Row],[Product]]),"Unknown",Table1[[#This Row],[Product]])</f>
        <v>Lamp</v>
      </c>
      <c r="K580" s="3">
        <v>3</v>
      </c>
      <c r="L580" s="10">
        <v>1999</v>
      </c>
      <c r="M580" t="s">
        <v>4</v>
      </c>
      <c r="N580" t="str">
        <f>IF(ISBLANK(Table1[[#This Row],[Payment method]]),"Unknown",Table1[[#This Row],[Payment method]])</f>
        <v>Net Banking</v>
      </c>
      <c r="O580" t="s">
        <v>12</v>
      </c>
      <c r="P580" t="str">
        <f>IF(Table1[[#This Row],[Unit price]]&gt;2000,"High Price","Standard Price")</f>
        <v>Standard Price</v>
      </c>
    </row>
    <row r="581" spans="1:16" x14ac:dyDescent="0.3">
      <c r="A581" s="3">
        <v>10580</v>
      </c>
      <c r="B581" s="1">
        <v>45872</v>
      </c>
      <c r="C581" s="3" t="s">
        <v>53</v>
      </c>
      <c r="D581" s="3" t="s">
        <v>14</v>
      </c>
      <c r="E581" t="s">
        <v>20</v>
      </c>
      <c r="F581" t="s">
        <v>20</v>
      </c>
      <c r="G581" t="str">
        <f>IF(ISBLANK(Table1[[#This Row],[State]]),"Unknown",Table1[[#This Row],[State]])</f>
        <v>Delhi</v>
      </c>
      <c r="H581" t="s">
        <v>2</v>
      </c>
      <c r="I581" t="s">
        <v>24</v>
      </c>
      <c r="J581" t="str">
        <f>IF(ISBLANK(Table1[[#This Row],[Product]]),"Unknown",Table1[[#This Row],[Product]])</f>
        <v>Jeans</v>
      </c>
      <c r="K581" s="3">
        <v>2</v>
      </c>
      <c r="L581" s="10">
        <v>1299</v>
      </c>
      <c r="N581" t="str">
        <f>IF(ISBLANK(Table1[[#This Row],[Payment method]]),"Unknown",Table1[[#This Row],[Payment method]])</f>
        <v>Unknown</v>
      </c>
      <c r="O581" t="s">
        <v>17</v>
      </c>
      <c r="P581" t="str">
        <f>IF(Table1[[#This Row],[Unit price]]&gt;2000,"High Price","Standard Price")</f>
        <v>Standard Price</v>
      </c>
    </row>
    <row r="582" spans="1:16" x14ac:dyDescent="0.3">
      <c r="A582" s="3">
        <v>10581</v>
      </c>
      <c r="B582" s="1">
        <v>45715</v>
      </c>
      <c r="C582" s="3" t="s">
        <v>107</v>
      </c>
      <c r="D582" s="3" t="s">
        <v>39</v>
      </c>
      <c r="E582" t="s">
        <v>20</v>
      </c>
      <c r="F582" t="s">
        <v>20</v>
      </c>
      <c r="G582" t="str">
        <f>IF(ISBLANK(Table1[[#This Row],[State]]),"Unknown",Table1[[#This Row],[State]])</f>
        <v>Delhi</v>
      </c>
      <c r="H582" t="s">
        <v>2</v>
      </c>
      <c r="I582" t="s">
        <v>3</v>
      </c>
      <c r="J582" t="str">
        <f>IF(ISBLANK(Table1[[#This Row],[Product]]),"Unknown",Table1[[#This Row],[Product]])</f>
        <v>T-Shirt</v>
      </c>
      <c r="K582" s="3">
        <v>1</v>
      </c>
      <c r="L582" s="10">
        <v>1299</v>
      </c>
      <c r="N582" t="str">
        <f>IF(ISBLANK(Table1[[#This Row],[Payment method]]),"Unknown",Table1[[#This Row],[Payment method]])</f>
        <v>Unknown</v>
      </c>
      <c r="O582" t="s">
        <v>12</v>
      </c>
      <c r="P582" t="str">
        <f>IF(Table1[[#This Row],[Unit price]]&gt;2000,"High Price","Standard Price")</f>
        <v>Standard Price</v>
      </c>
    </row>
    <row r="583" spans="1:16" x14ac:dyDescent="0.3">
      <c r="A583" s="3">
        <v>10582</v>
      </c>
      <c r="B583" s="1">
        <v>45751</v>
      </c>
      <c r="C583" s="3" t="s">
        <v>154</v>
      </c>
      <c r="D583" s="3" t="s">
        <v>23</v>
      </c>
      <c r="E583" t="s">
        <v>20</v>
      </c>
      <c r="F583" t="s">
        <v>20</v>
      </c>
      <c r="G583" t="str">
        <f>IF(ISBLANK(Table1[[#This Row],[State]]),"Unknown",Table1[[#This Row],[State]])</f>
        <v>Delhi</v>
      </c>
      <c r="H583" t="s">
        <v>33</v>
      </c>
      <c r="I583" t="s">
        <v>21</v>
      </c>
      <c r="J583" t="str">
        <f>IF(ISBLANK(Table1[[#This Row],[Product]]),"Unknown",Table1[[#This Row],[Product]])</f>
        <v>Headphones</v>
      </c>
      <c r="K583" s="3">
        <v>2</v>
      </c>
      <c r="L583" s="10">
        <v>799</v>
      </c>
      <c r="M583" t="s">
        <v>4</v>
      </c>
      <c r="N583" t="str">
        <f>IF(ISBLANK(Table1[[#This Row],[Payment method]]),"Unknown",Table1[[#This Row],[Payment method]])</f>
        <v>Net Banking</v>
      </c>
      <c r="O583" t="s">
        <v>17</v>
      </c>
      <c r="P583" t="str">
        <f>IF(Table1[[#This Row],[Unit price]]&gt;2000,"High Price","Standard Price")</f>
        <v>Standard Price</v>
      </c>
    </row>
    <row r="584" spans="1:16" x14ac:dyDescent="0.3">
      <c r="A584" s="3">
        <v>10583</v>
      </c>
      <c r="B584" s="1">
        <v>45740</v>
      </c>
      <c r="C584" s="3" t="s">
        <v>129</v>
      </c>
      <c r="D584" s="3" t="s">
        <v>57</v>
      </c>
      <c r="E584" t="s">
        <v>45</v>
      </c>
      <c r="F584" t="s">
        <v>54</v>
      </c>
      <c r="G584" t="str">
        <f>IF(ISBLANK(Table1[[#This Row],[State]]),"Unknown",Table1[[#This Row],[State]])</f>
        <v>Uttar Pradesh</v>
      </c>
      <c r="H584" t="s">
        <v>9</v>
      </c>
      <c r="I584" t="s">
        <v>16</v>
      </c>
      <c r="J584" t="str">
        <f>IF(ISBLANK(Table1[[#This Row],[Product]]),"Unknown",Table1[[#This Row],[Product]])</f>
        <v>Lamp</v>
      </c>
      <c r="K584" s="3">
        <v>5</v>
      </c>
      <c r="L584" s="10">
        <v>499</v>
      </c>
      <c r="N584" t="str">
        <f>IF(ISBLANK(Table1[[#This Row],[Payment method]]),"Unknown",Table1[[#This Row],[Payment method]])</f>
        <v>Unknown</v>
      </c>
      <c r="O584" t="s">
        <v>12</v>
      </c>
      <c r="P584" t="str">
        <f>IF(Table1[[#This Row],[Unit price]]&gt;2000,"High Price","Standard Price")</f>
        <v>Standard Price</v>
      </c>
    </row>
    <row r="585" spans="1:16" x14ac:dyDescent="0.3">
      <c r="A585" s="3">
        <v>10584</v>
      </c>
      <c r="B585" s="1">
        <v>45788</v>
      </c>
      <c r="C585" s="3" t="s">
        <v>158</v>
      </c>
      <c r="D585" s="3" t="s">
        <v>39</v>
      </c>
      <c r="E585" t="s">
        <v>20</v>
      </c>
      <c r="F585" t="s">
        <v>20</v>
      </c>
      <c r="G585" t="str">
        <f>IF(ISBLANK(Table1[[#This Row],[State]]),"Unknown",Table1[[#This Row],[State]])</f>
        <v>Delhi</v>
      </c>
      <c r="H585" t="s">
        <v>9</v>
      </c>
      <c r="I585" t="s">
        <v>10</v>
      </c>
      <c r="J585" t="str">
        <f>IF(ISBLANK(Table1[[#This Row],[Product]]),"Unknown",Table1[[#This Row],[Product]])</f>
        <v>Chair</v>
      </c>
      <c r="K585" s="3">
        <v>2</v>
      </c>
      <c r="L585" s="10">
        <v>499</v>
      </c>
      <c r="M585" t="s">
        <v>26</v>
      </c>
      <c r="N585" t="str">
        <f>IF(ISBLANK(Table1[[#This Row],[Payment method]]),"Unknown",Table1[[#This Row],[Payment method]])</f>
        <v>Card</v>
      </c>
      <c r="O585" t="s">
        <v>58</v>
      </c>
      <c r="P585" t="str">
        <f>IF(Table1[[#This Row],[Unit price]]&gt;2000,"High Price","Standard Price")</f>
        <v>Standard Price</v>
      </c>
    </row>
    <row r="586" spans="1:16" x14ac:dyDescent="0.3">
      <c r="A586" s="3">
        <v>10585</v>
      </c>
      <c r="B586" s="1">
        <v>45719</v>
      </c>
      <c r="C586" s="3" t="s">
        <v>74</v>
      </c>
      <c r="D586" s="3" t="s">
        <v>39</v>
      </c>
      <c r="E586" t="s">
        <v>45</v>
      </c>
      <c r="F586" t="s">
        <v>54</v>
      </c>
      <c r="G586" t="str">
        <f>IF(ISBLANK(Table1[[#This Row],[State]]),"Unknown",Table1[[#This Row],[State]])</f>
        <v>Uttar Pradesh</v>
      </c>
      <c r="H586" t="s">
        <v>9</v>
      </c>
      <c r="I586" t="s">
        <v>10</v>
      </c>
      <c r="J586" t="str">
        <f>IF(ISBLANK(Table1[[#This Row],[Product]]),"Unknown",Table1[[#This Row],[Product]])</f>
        <v>Chair</v>
      </c>
      <c r="K586" s="3">
        <v>4</v>
      </c>
      <c r="L586" s="10">
        <v>799</v>
      </c>
      <c r="N586" t="str">
        <f>IF(ISBLANK(Table1[[#This Row],[Payment method]]),"Unknown",Table1[[#This Row],[Payment method]])</f>
        <v>Unknown</v>
      </c>
      <c r="O586" t="s">
        <v>58</v>
      </c>
      <c r="P586" t="str">
        <f>IF(Table1[[#This Row],[Unit price]]&gt;2000,"High Price","Standard Price")</f>
        <v>Standard Price</v>
      </c>
    </row>
    <row r="587" spans="1:16" x14ac:dyDescent="0.3">
      <c r="A587" s="3">
        <v>10586</v>
      </c>
      <c r="B587" s="1">
        <v>45747</v>
      </c>
      <c r="C587" s="3" t="s">
        <v>210</v>
      </c>
      <c r="D587" s="3" t="s">
        <v>43</v>
      </c>
      <c r="E587" t="s">
        <v>32</v>
      </c>
      <c r="F587" t="s">
        <v>36</v>
      </c>
      <c r="G587" t="str">
        <f>IF(ISBLANK(Table1[[#This Row],[State]]),"Unknown",Table1[[#This Row],[State]])</f>
        <v>Maharastra</v>
      </c>
      <c r="H587" t="s">
        <v>9</v>
      </c>
      <c r="I587" t="s">
        <v>16</v>
      </c>
      <c r="J587" t="str">
        <f>IF(ISBLANK(Table1[[#This Row],[Product]]),"Unknown",Table1[[#This Row],[Product]])</f>
        <v>Lamp</v>
      </c>
      <c r="K587" s="3">
        <v>2</v>
      </c>
      <c r="L587" s="10">
        <v>499</v>
      </c>
      <c r="N587" t="str">
        <f>IF(ISBLANK(Table1[[#This Row],[Payment method]]),"Unknown",Table1[[#This Row],[Payment method]])</f>
        <v>Unknown</v>
      </c>
      <c r="O587" t="s">
        <v>12</v>
      </c>
      <c r="P587" t="str">
        <f>IF(Table1[[#This Row],[Unit price]]&gt;2000,"High Price","Standard Price")</f>
        <v>Standard Price</v>
      </c>
    </row>
    <row r="588" spans="1:16" x14ac:dyDescent="0.3">
      <c r="A588" s="3">
        <v>10587</v>
      </c>
      <c r="B588" s="1">
        <v>45667</v>
      </c>
      <c r="C588" s="3" t="s">
        <v>110</v>
      </c>
      <c r="D588" s="3" t="s">
        <v>43</v>
      </c>
      <c r="E588" t="s">
        <v>20</v>
      </c>
      <c r="F588" t="s">
        <v>20</v>
      </c>
      <c r="G588" t="str">
        <f>IF(ISBLANK(Table1[[#This Row],[State]]),"Unknown",Table1[[#This Row],[State]])</f>
        <v>Delhi</v>
      </c>
      <c r="H588" t="s">
        <v>33</v>
      </c>
      <c r="I588" t="s">
        <v>37</v>
      </c>
      <c r="J588" t="str">
        <f>IF(ISBLANK(Table1[[#This Row],[Product]]),"Unknown",Table1[[#This Row],[Product]])</f>
        <v>Mouse</v>
      </c>
      <c r="K588" s="3">
        <v>5</v>
      </c>
      <c r="L588" s="10">
        <v>799</v>
      </c>
      <c r="M588" t="s">
        <v>4</v>
      </c>
      <c r="N588" t="str">
        <f>IF(ISBLANK(Table1[[#This Row],[Payment method]]),"Unknown",Table1[[#This Row],[Payment method]])</f>
        <v>Net Banking</v>
      </c>
      <c r="O588" t="s">
        <v>58</v>
      </c>
      <c r="P588" t="str">
        <f>IF(Table1[[#This Row],[Unit price]]&gt;2000,"High Price","Standard Price")</f>
        <v>Standard Price</v>
      </c>
    </row>
    <row r="589" spans="1:16" x14ac:dyDescent="0.3">
      <c r="A589" s="3">
        <v>10588</v>
      </c>
      <c r="B589" s="1">
        <v>45719</v>
      </c>
      <c r="C589" s="3" t="s">
        <v>179</v>
      </c>
      <c r="D589" s="3" t="s">
        <v>19</v>
      </c>
      <c r="E589" t="s">
        <v>45</v>
      </c>
      <c r="F589" t="s">
        <v>54</v>
      </c>
      <c r="G589" t="str">
        <f>IF(ISBLANK(Table1[[#This Row],[State]]),"Unknown",Table1[[#This Row],[State]])</f>
        <v>Uttar Pradesh</v>
      </c>
      <c r="H589" t="s">
        <v>33</v>
      </c>
      <c r="I589" t="s">
        <v>21</v>
      </c>
      <c r="J589" t="str">
        <f>IF(ISBLANK(Table1[[#This Row],[Product]]),"Unknown",Table1[[#This Row],[Product]])</f>
        <v>Headphones</v>
      </c>
      <c r="K589" s="3">
        <v>4</v>
      </c>
      <c r="L589" s="10">
        <v>1999</v>
      </c>
      <c r="M589" t="s">
        <v>11</v>
      </c>
      <c r="N589" t="str">
        <f>IF(ISBLANK(Table1[[#This Row],[Payment method]]),"Unknown",Table1[[#This Row],[Payment method]])</f>
        <v>Cash on Delivery</v>
      </c>
      <c r="O589" t="s">
        <v>12</v>
      </c>
      <c r="P589" t="str">
        <f>IF(Table1[[#This Row],[Unit price]]&gt;2000,"High Price","Standard Price")</f>
        <v>Standard Price</v>
      </c>
    </row>
    <row r="590" spans="1:16" x14ac:dyDescent="0.3">
      <c r="A590" s="3">
        <v>10589</v>
      </c>
      <c r="B590" s="1">
        <v>45678</v>
      </c>
      <c r="C590" s="3" t="s">
        <v>150</v>
      </c>
      <c r="D590" s="3" t="s">
        <v>7</v>
      </c>
      <c r="E590" t="s">
        <v>45</v>
      </c>
      <c r="F590" t="s">
        <v>54</v>
      </c>
      <c r="G590" t="str">
        <f>IF(ISBLANK(Table1[[#This Row],[State]]),"Unknown",Table1[[#This Row],[State]])</f>
        <v>Uttar Pradesh</v>
      </c>
      <c r="H590" t="s">
        <v>9</v>
      </c>
      <c r="I590" t="s">
        <v>10</v>
      </c>
      <c r="J590" t="str">
        <f>IF(ISBLANK(Table1[[#This Row],[Product]]),"Unknown",Table1[[#This Row],[Product]])</f>
        <v>Chair</v>
      </c>
      <c r="K590" s="3">
        <v>4</v>
      </c>
      <c r="L590" s="10">
        <v>799</v>
      </c>
      <c r="N590" t="str">
        <f>IF(ISBLANK(Table1[[#This Row],[Payment method]]),"Unknown",Table1[[#This Row],[Payment method]])</f>
        <v>Unknown</v>
      </c>
      <c r="O590" t="s">
        <v>12</v>
      </c>
      <c r="P590" t="str">
        <f>IF(Table1[[#This Row],[Unit price]]&gt;2000,"High Price","Standard Price")</f>
        <v>Standard Price</v>
      </c>
    </row>
    <row r="591" spans="1:16" x14ac:dyDescent="0.3">
      <c r="A591" s="3">
        <v>10590</v>
      </c>
      <c r="B591" s="1">
        <v>45843</v>
      </c>
      <c r="C591" s="3" t="s">
        <v>133</v>
      </c>
      <c r="D591" s="3" t="s">
        <v>14</v>
      </c>
      <c r="E591" t="s">
        <v>247</v>
      </c>
      <c r="F591" t="s">
        <v>36</v>
      </c>
      <c r="G591" t="str">
        <f>IF(ISBLANK(Table1[[#This Row],[State]]),"Unknown",Table1[[#This Row],[State]])</f>
        <v>Maharastra</v>
      </c>
      <c r="H591" t="s">
        <v>2</v>
      </c>
      <c r="I591" t="s">
        <v>24</v>
      </c>
      <c r="J591" t="str">
        <f>IF(ISBLANK(Table1[[#This Row],[Product]]),"Unknown",Table1[[#This Row],[Product]])</f>
        <v>Jeans</v>
      </c>
      <c r="K591" s="3">
        <v>2</v>
      </c>
      <c r="L591" s="10">
        <v>799</v>
      </c>
      <c r="N591" t="str">
        <f>IF(ISBLANK(Table1[[#This Row],[Payment method]]),"Unknown",Table1[[#This Row],[Payment method]])</f>
        <v>Unknown</v>
      </c>
      <c r="O591" t="s">
        <v>5</v>
      </c>
      <c r="P591" t="str">
        <f>IF(Table1[[#This Row],[Unit price]]&gt;2000,"High Price","Standard Price")</f>
        <v>Standard Price</v>
      </c>
    </row>
    <row r="592" spans="1:16" x14ac:dyDescent="0.3">
      <c r="A592" s="3">
        <v>10591</v>
      </c>
      <c r="B592" s="1">
        <v>45792</v>
      </c>
      <c r="C592" s="3" t="s">
        <v>205</v>
      </c>
      <c r="D592" s="3" t="s">
        <v>1</v>
      </c>
      <c r="E592" t="s">
        <v>20</v>
      </c>
      <c r="F592" t="s">
        <v>20</v>
      </c>
      <c r="G592" t="str">
        <f>IF(ISBLANK(Table1[[#This Row],[State]]),"Unknown",Table1[[#This Row],[State]])</f>
        <v>Delhi</v>
      </c>
      <c r="H592" t="s">
        <v>2</v>
      </c>
      <c r="I592" t="s">
        <v>24</v>
      </c>
      <c r="J592" t="str">
        <f>IF(ISBLANK(Table1[[#This Row],[Product]]),"Unknown",Table1[[#This Row],[Product]])</f>
        <v>Jeans</v>
      </c>
      <c r="K592" s="3">
        <v>4</v>
      </c>
      <c r="L592" s="10">
        <v>1999</v>
      </c>
      <c r="M592" t="s">
        <v>26</v>
      </c>
      <c r="N592" t="str">
        <f>IF(ISBLANK(Table1[[#This Row],[Payment method]]),"Unknown",Table1[[#This Row],[Payment method]])</f>
        <v>Card</v>
      </c>
      <c r="O592" t="s">
        <v>17</v>
      </c>
      <c r="P592" t="str">
        <f>IF(Table1[[#This Row],[Unit price]]&gt;2000,"High Price","Standard Price")</f>
        <v>Standard Price</v>
      </c>
    </row>
    <row r="593" spans="1:16" x14ac:dyDescent="0.3">
      <c r="A593" s="3">
        <v>10592</v>
      </c>
      <c r="B593" s="1">
        <v>45835</v>
      </c>
      <c r="C593" s="3" t="s">
        <v>183</v>
      </c>
      <c r="D593" s="3" t="s">
        <v>7</v>
      </c>
      <c r="E593" t="s">
        <v>249</v>
      </c>
      <c r="F593" t="s">
        <v>15</v>
      </c>
      <c r="G593" t="str">
        <f>IF(ISBLANK(Table1[[#This Row],[State]]),"Unknown",Table1[[#This Row],[State]])</f>
        <v>Maharashtra</v>
      </c>
      <c r="H593" t="s">
        <v>33</v>
      </c>
      <c r="I593" t="s">
        <v>49</v>
      </c>
      <c r="J593" t="str">
        <f>IF(ISBLANK(Table1[[#This Row],[Product]]),"Unknown",Table1[[#This Row],[Product]])</f>
        <v>Keyboard</v>
      </c>
      <c r="K593" s="3">
        <v>3</v>
      </c>
      <c r="L593" s="10">
        <v>799</v>
      </c>
      <c r="M593" t="s">
        <v>26</v>
      </c>
      <c r="N593" t="str">
        <f>IF(ISBLANK(Table1[[#This Row],[Payment method]]),"Unknown",Table1[[#This Row],[Payment method]])</f>
        <v>Card</v>
      </c>
      <c r="O593" t="s">
        <v>5</v>
      </c>
      <c r="P593" t="str">
        <f>IF(Table1[[#This Row],[Unit price]]&gt;2000,"High Price","Standard Price")</f>
        <v>Standard Price</v>
      </c>
    </row>
    <row r="594" spans="1:16" x14ac:dyDescent="0.3">
      <c r="A594" s="3">
        <v>10593</v>
      </c>
      <c r="B594" s="1">
        <v>45667</v>
      </c>
      <c r="C594" s="3" t="s">
        <v>197</v>
      </c>
      <c r="D594" s="3" t="s">
        <v>39</v>
      </c>
      <c r="E594" t="s">
        <v>45</v>
      </c>
      <c r="F594" t="s">
        <v>54</v>
      </c>
      <c r="G594" t="str">
        <f>IF(ISBLANK(Table1[[#This Row],[State]]),"Unknown",Table1[[#This Row],[State]])</f>
        <v>Uttar Pradesh</v>
      </c>
      <c r="H594" t="s">
        <v>2</v>
      </c>
      <c r="I594" t="s">
        <v>3</v>
      </c>
      <c r="J594" t="str">
        <f>IF(ISBLANK(Table1[[#This Row],[Product]]),"Unknown",Table1[[#This Row],[Product]])</f>
        <v>T-Shirt</v>
      </c>
      <c r="K594" s="3">
        <v>5</v>
      </c>
      <c r="L594" s="10">
        <v>799</v>
      </c>
      <c r="N594" t="str">
        <f>IF(ISBLANK(Table1[[#This Row],[Payment method]]),"Unknown",Table1[[#This Row],[Payment method]])</f>
        <v>Unknown</v>
      </c>
      <c r="O594" t="s">
        <v>58</v>
      </c>
      <c r="P594" t="str">
        <f>IF(Table1[[#This Row],[Unit price]]&gt;2000,"High Price","Standard Price")</f>
        <v>Standard Price</v>
      </c>
    </row>
    <row r="595" spans="1:16" x14ac:dyDescent="0.3">
      <c r="A595" s="3">
        <v>10594</v>
      </c>
      <c r="B595" s="1">
        <v>45762</v>
      </c>
      <c r="C595" s="3" t="s">
        <v>167</v>
      </c>
      <c r="D595" s="3" t="s">
        <v>39</v>
      </c>
      <c r="E595" t="s">
        <v>20</v>
      </c>
      <c r="F595" t="s">
        <v>20</v>
      </c>
      <c r="G595" t="str">
        <f>IF(ISBLANK(Table1[[#This Row],[State]]),"Unknown",Table1[[#This Row],[State]])</f>
        <v>Delhi</v>
      </c>
      <c r="H595" t="s">
        <v>2</v>
      </c>
      <c r="I595" t="s">
        <v>24</v>
      </c>
      <c r="J595" t="str">
        <f>IF(ISBLANK(Table1[[#This Row],[Product]]),"Unknown",Table1[[#This Row],[Product]])</f>
        <v>Jeans</v>
      </c>
      <c r="K595" s="3">
        <v>2</v>
      </c>
      <c r="L595" s="10">
        <v>299</v>
      </c>
      <c r="N595" t="str">
        <f>IF(ISBLANK(Table1[[#This Row],[Payment method]]),"Unknown",Table1[[#This Row],[Payment method]])</f>
        <v>Unknown</v>
      </c>
      <c r="O595" t="s">
        <v>17</v>
      </c>
      <c r="P595" t="str">
        <f>IF(Table1[[#This Row],[Unit price]]&gt;2000,"High Price","Standard Price")</f>
        <v>Standard Price</v>
      </c>
    </row>
    <row r="596" spans="1:16" x14ac:dyDescent="0.3">
      <c r="A596" s="3">
        <v>10595</v>
      </c>
      <c r="B596" s="1">
        <v>45685</v>
      </c>
      <c r="C596" s="3" t="s">
        <v>198</v>
      </c>
      <c r="D596" s="3" t="s">
        <v>23</v>
      </c>
      <c r="E596" t="s">
        <v>45</v>
      </c>
      <c r="F596" t="s">
        <v>54</v>
      </c>
      <c r="G596" t="str">
        <f>IF(ISBLANK(Table1[[#This Row],[State]]),"Unknown",Table1[[#This Row],[State]])</f>
        <v>Uttar Pradesh</v>
      </c>
      <c r="H596" t="s">
        <v>2</v>
      </c>
      <c r="I596" t="s">
        <v>24</v>
      </c>
      <c r="J596" t="str">
        <f>IF(ISBLANK(Table1[[#This Row],[Product]]),"Unknown",Table1[[#This Row],[Product]])</f>
        <v>Jeans</v>
      </c>
      <c r="K596" s="3">
        <v>1</v>
      </c>
      <c r="L596" s="10">
        <v>1299</v>
      </c>
      <c r="M596" t="s">
        <v>11</v>
      </c>
      <c r="N596" t="str">
        <f>IF(ISBLANK(Table1[[#This Row],[Payment method]]),"Unknown",Table1[[#This Row],[Payment method]])</f>
        <v>Cash on Delivery</v>
      </c>
      <c r="O596" t="s">
        <v>58</v>
      </c>
      <c r="P596" t="str">
        <f>IF(Table1[[#This Row],[Unit price]]&gt;2000,"High Price","Standard Price")</f>
        <v>Standard Price</v>
      </c>
    </row>
    <row r="597" spans="1:16" x14ac:dyDescent="0.3">
      <c r="A597" s="3">
        <v>10596</v>
      </c>
      <c r="B597" s="1">
        <v>45783</v>
      </c>
      <c r="C597" s="3" t="s">
        <v>77</v>
      </c>
      <c r="D597" s="3" t="s">
        <v>7</v>
      </c>
      <c r="E597" t="s">
        <v>20</v>
      </c>
      <c r="F597" t="s">
        <v>20</v>
      </c>
      <c r="G597" t="str">
        <f>IF(ISBLANK(Table1[[#This Row],[State]]),"Unknown",Table1[[#This Row],[State]])</f>
        <v>Delhi</v>
      </c>
      <c r="H597" t="s">
        <v>2</v>
      </c>
      <c r="I597" t="s">
        <v>3</v>
      </c>
      <c r="J597" t="str">
        <f>IF(ISBLANK(Table1[[#This Row],[Product]]),"Unknown",Table1[[#This Row],[Product]])</f>
        <v>T-Shirt</v>
      </c>
      <c r="K597" s="3">
        <v>3</v>
      </c>
      <c r="L597" s="10">
        <v>299</v>
      </c>
      <c r="M597" t="s">
        <v>4</v>
      </c>
      <c r="N597" t="str">
        <f>IF(ISBLANK(Table1[[#This Row],[Payment method]]),"Unknown",Table1[[#This Row],[Payment method]])</f>
        <v>Net Banking</v>
      </c>
      <c r="O597" t="s">
        <v>5</v>
      </c>
      <c r="P597" t="str">
        <f>IF(Table1[[#This Row],[Unit price]]&gt;2000,"High Price","Standard Price")</f>
        <v>Standard Price</v>
      </c>
    </row>
    <row r="598" spans="1:16" x14ac:dyDescent="0.3">
      <c r="A598" s="3">
        <v>10597</v>
      </c>
      <c r="B598" s="1">
        <v>45672</v>
      </c>
      <c r="C598" s="3" t="s">
        <v>160</v>
      </c>
      <c r="D598" s="3" t="s">
        <v>43</v>
      </c>
      <c r="E598" t="s">
        <v>35</v>
      </c>
      <c r="F598" t="s">
        <v>15</v>
      </c>
      <c r="G598" t="str">
        <f>IF(ISBLANK(Table1[[#This Row],[State]]),"Unknown",Table1[[#This Row],[State]])</f>
        <v>Maharashtra</v>
      </c>
      <c r="H598" t="s">
        <v>2</v>
      </c>
      <c r="I598" t="s">
        <v>3</v>
      </c>
      <c r="J598" t="str">
        <f>IF(ISBLANK(Table1[[#This Row],[Product]]),"Unknown",Table1[[#This Row],[Product]])</f>
        <v>T-Shirt</v>
      </c>
      <c r="K598" s="3">
        <v>3</v>
      </c>
      <c r="L598" s="10">
        <v>1999</v>
      </c>
      <c r="M598" t="s">
        <v>4</v>
      </c>
      <c r="N598" t="str">
        <f>IF(ISBLANK(Table1[[#This Row],[Payment method]]),"Unknown",Table1[[#This Row],[Payment method]])</f>
        <v>Net Banking</v>
      </c>
      <c r="O598" t="s">
        <v>17</v>
      </c>
      <c r="P598" t="str">
        <f>IF(Table1[[#This Row],[Unit price]]&gt;2000,"High Price","Standard Price")</f>
        <v>Standard Price</v>
      </c>
    </row>
    <row r="599" spans="1:16" x14ac:dyDescent="0.3">
      <c r="A599" s="3">
        <v>10598</v>
      </c>
      <c r="B599" s="1">
        <v>45773</v>
      </c>
      <c r="C599" s="3" t="s">
        <v>174</v>
      </c>
      <c r="D599" s="3" t="s">
        <v>39</v>
      </c>
      <c r="E599" t="s">
        <v>45</v>
      </c>
      <c r="F599" t="s">
        <v>54</v>
      </c>
      <c r="G599" t="str">
        <f>IF(ISBLANK(Table1[[#This Row],[State]]),"Unknown",Table1[[#This Row],[State]])</f>
        <v>Uttar Pradesh</v>
      </c>
      <c r="H599" t="s">
        <v>33</v>
      </c>
      <c r="I599" t="s">
        <v>21</v>
      </c>
      <c r="J599" t="str">
        <f>IF(ISBLANK(Table1[[#This Row],[Product]]),"Unknown",Table1[[#This Row],[Product]])</f>
        <v>Headphones</v>
      </c>
      <c r="K599" s="3">
        <v>4</v>
      </c>
      <c r="L599" s="10">
        <v>1299</v>
      </c>
      <c r="M599" t="s">
        <v>26</v>
      </c>
      <c r="N599" t="str">
        <f>IF(ISBLANK(Table1[[#This Row],[Payment method]]),"Unknown",Table1[[#This Row],[Payment method]])</f>
        <v>Card</v>
      </c>
      <c r="O599" t="s">
        <v>5</v>
      </c>
      <c r="P599" t="str">
        <f>IF(Table1[[#This Row],[Unit price]]&gt;2000,"High Price","Standard Price")</f>
        <v>Standard Price</v>
      </c>
    </row>
    <row r="600" spans="1:16" x14ac:dyDescent="0.3">
      <c r="A600" s="3">
        <v>10599</v>
      </c>
      <c r="B600" s="1">
        <v>45765</v>
      </c>
      <c r="C600" s="3" t="s">
        <v>228</v>
      </c>
      <c r="D600" s="3" t="s">
        <v>57</v>
      </c>
      <c r="E600" t="s">
        <v>248</v>
      </c>
      <c r="F600" t="s">
        <v>52</v>
      </c>
      <c r="G600" t="str">
        <f>IF(ISBLANK(Table1[[#This Row],[State]]),"Unknown",Table1[[#This Row],[State]])</f>
        <v>Karnataka</v>
      </c>
      <c r="H600" t="s">
        <v>9</v>
      </c>
      <c r="I600" t="s">
        <v>10</v>
      </c>
      <c r="J600" t="str">
        <f>IF(ISBLANK(Table1[[#This Row],[Product]]),"Unknown",Table1[[#This Row],[Product]])</f>
        <v>Chair</v>
      </c>
      <c r="K600" s="3">
        <v>5</v>
      </c>
      <c r="L600" s="10">
        <v>1299</v>
      </c>
      <c r="N600" t="str">
        <f>IF(ISBLANK(Table1[[#This Row],[Payment method]]),"Unknown",Table1[[#This Row],[Payment method]])</f>
        <v>Unknown</v>
      </c>
      <c r="O600" t="s">
        <v>58</v>
      </c>
      <c r="P600" t="str">
        <f>IF(Table1[[#This Row],[Unit price]]&gt;2000,"High Price","Standard Price")</f>
        <v>Standard Price</v>
      </c>
    </row>
    <row r="601" spans="1:16" x14ac:dyDescent="0.3">
      <c r="A601" s="3">
        <v>10600</v>
      </c>
      <c r="B601" s="1">
        <v>45931</v>
      </c>
      <c r="C601" s="3" t="s">
        <v>41</v>
      </c>
      <c r="D601" s="3" t="s">
        <v>7</v>
      </c>
      <c r="E601" t="s">
        <v>8</v>
      </c>
      <c r="F601" t="s">
        <v>52</v>
      </c>
      <c r="G601" t="str">
        <f>IF(ISBLANK(Table1[[#This Row],[State]]),"Unknown",Table1[[#This Row],[State]])</f>
        <v>Karnataka</v>
      </c>
      <c r="H601" t="s">
        <v>9</v>
      </c>
      <c r="I601" t="s">
        <v>16</v>
      </c>
      <c r="J601" t="str">
        <f>IF(ISBLANK(Table1[[#This Row],[Product]]),"Unknown",Table1[[#This Row],[Product]])</f>
        <v>Lamp</v>
      </c>
      <c r="K601" s="3">
        <v>5</v>
      </c>
      <c r="L601" s="10">
        <v>1999</v>
      </c>
      <c r="N601" t="str">
        <f>IF(ISBLANK(Table1[[#This Row],[Payment method]]),"Unknown",Table1[[#This Row],[Payment method]])</f>
        <v>Unknown</v>
      </c>
      <c r="O601" t="s">
        <v>5</v>
      </c>
      <c r="P601" t="str">
        <f>IF(Table1[[#This Row],[Unit price]]&gt;2000,"High Price","Standard Price")</f>
        <v>Standard Price</v>
      </c>
    </row>
    <row r="602" spans="1:16" x14ac:dyDescent="0.3">
      <c r="A602" s="3">
        <v>10601</v>
      </c>
      <c r="B602" s="1">
        <v>45824</v>
      </c>
      <c r="C602" s="3" t="s">
        <v>179</v>
      </c>
      <c r="D602" s="3" t="s">
        <v>39</v>
      </c>
      <c r="E602" t="s">
        <v>8</v>
      </c>
      <c r="F602" t="s">
        <v>52</v>
      </c>
      <c r="G602" t="str">
        <f>IF(ISBLANK(Table1[[#This Row],[State]]),"Unknown",Table1[[#This Row],[State]])</f>
        <v>Karnataka</v>
      </c>
      <c r="H602" t="s">
        <v>9</v>
      </c>
      <c r="I602" t="s">
        <v>16</v>
      </c>
      <c r="J602" t="str">
        <f>IF(ISBLANK(Table1[[#This Row],[Product]]),"Unknown",Table1[[#This Row],[Product]])</f>
        <v>Lamp</v>
      </c>
      <c r="K602" s="3">
        <v>1</v>
      </c>
      <c r="L602" s="10">
        <v>1999</v>
      </c>
      <c r="N602" t="str">
        <f>IF(ISBLANK(Table1[[#This Row],[Payment method]]),"Unknown",Table1[[#This Row],[Payment method]])</f>
        <v>Unknown</v>
      </c>
      <c r="O602" t="s">
        <v>12</v>
      </c>
      <c r="P602" t="str">
        <f>IF(Table1[[#This Row],[Unit price]]&gt;2000,"High Price","Standard Price")</f>
        <v>Standard Price</v>
      </c>
    </row>
    <row r="603" spans="1:16" x14ac:dyDescent="0.3">
      <c r="A603" s="3">
        <v>10602</v>
      </c>
      <c r="B603" s="1">
        <v>45811</v>
      </c>
      <c r="C603" s="3" t="s">
        <v>18</v>
      </c>
      <c r="D603" s="3" t="s">
        <v>23</v>
      </c>
      <c r="E603" t="s">
        <v>20</v>
      </c>
      <c r="F603" t="s">
        <v>20</v>
      </c>
      <c r="G603" t="str">
        <f>IF(ISBLANK(Table1[[#This Row],[State]]),"Unknown",Table1[[#This Row],[State]])</f>
        <v>Delhi</v>
      </c>
      <c r="H603" t="s">
        <v>9</v>
      </c>
      <c r="I603" t="s">
        <v>16</v>
      </c>
      <c r="J603" t="str">
        <f>IF(ISBLANK(Table1[[#This Row],[Product]]),"Unknown",Table1[[#This Row],[Product]])</f>
        <v>Lamp</v>
      </c>
      <c r="K603" s="3">
        <v>3</v>
      </c>
      <c r="L603" s="10">
        <v>499</v>
      </c>
      <c r="M603" t="s">
        <v>26</v>
      </c>
      <c r="N603" t="str">
        <f>IF(ISBLANK(Table1[[#This Row],[Payment method]]),"Unknown",Table1[[#This Row],[Payment method]])</f>
        <v>Card</v>
      </c>
      <c r="O603" t="s">
        <v>17</v>
      </c>
      <c r="P603" t="str">
        <f>IF(Table1[[#This Row],[Unit price]]&gt;2000,"High Price","Standard Price")</f>
        <v>Standard Price</v>
      </c>
    </row>
    <row r="604" spans="1:16" x14ac:dyDescent="0.3">
      <c r="A604" s="3">
        <v>10603</v>
      </c>
      <c r="B604" s="1">
        <v>45785</v>
      </c>
      <c r="C604" s="3" t="s">
        <v>120</v>
      </c>
      <c r="D604" s="3" t="s">
        <v>43</v>
      </c>
      <c r="E604" t="s">
        <v>248</v>
      </c>
      <c r="F604" t="s">
        <v>52</v>
      </c>
      <c r="G604" t="str">
        <f>IF(ISBLANK(Table1[[#This Row],[State]]),"Unknown",Table1[[#This Row],[State]])</f>
        <v>Karnataka</v>
      </c>
      <c r="H604" t="s">
        <v>2</v>
      </c>
      <c r="I604" t="s">
        <v>3</v>
      </c>
      <c r="J604" t="str">
        <f>IF(ISBLANK(Table1[[#This Row],[Product]]),"Unknown",Table1[[#This Row],[Product]])</f>
        <v>T-Shirt</v>
      </c>
      <c r="K604" s="3">
        <v>4</v>
      </c>
      <c r="L604" s="10">
        <v>1299</v>
      </c>
      <c r="M604" t="s">
        <v>4</v>
      </c>
      <c r="N604" t="str">
        <f>IF(ISBLANK(Table1[[#This Row],[Payment method]]),"Unknown",Table1[[#This Row],[Payment method]])</f>
        <v>Net Banking</v>
      </c>
      <c r="O604" t="s">
        <v>58</v>
      </c>
      <c r="P604" t="str">
        <f>IF(Table1[[#This Row],[Unit price]]&gt;2000,"High Price","Standard Price")</f>
        <v>Standard Price</v>
      </c>
    </row>
    <row r="605" spans="1:16" x14ac:dyDescent="0.3">
      <c r="A605" s="3">
        <v>10604</v>
      </c>
      <c r="B605" s="1">
        <v>45798</v>
      </c>
      <c r="C605" s="3" t="s">
        <v>196</v>
      </c>
      <c r="D605" s="3" t="s">
        <v>14</v>
      </c>
      <c r="E605" t="s">
        <v>45</v>
      </c>
      <c r="F605" t="s">
        <v>54</v>
      </c>
      <c r="G605" t="str">
        <f>IF(ISBLANK(Table1[[#This Row],[State]]),"Unknown",Table1[[#This Row],[State]])</f>
        <v>Uttar Pradesh</v>
      </c>
      <c r="H605" t="s">
        <v>9</v>
      </c>
      <c r="I605" t="s">
        <v>16</v>
      </c>
      <c r="J605" t="str">
        <f>IF(ISBLANK(Table1[[#This Row],[Product]]),"Unknown",Table1[[#This Row],[Product]])</f>
        <v>Lamp</v>
      </c>
      <c r="K605" s="3">
        <v>5</v>
      </c>
      <c r="L605" s="10">
        <v>1999</v>
      </c>
      <c r="N605" t="str">
        <f>IF(ISBLANK(Table1[[#This Row],[Payment method]]),"Unknown",Table1[[#This Row],[Payment method]])</f>
        <v>Unknown</v>
      </c>
      <c r="O605" t="s">
        <v>58</v>
      </c>
      <c r="P605" t="str">
        <f>IF(Table1[[#This Row],[Unit price]]&gt;2000,"High Price","Standard Price")</f>
        <v>Standard Price</v>
      </c>
    </row>
    <row r="606" spans="1:16" x14ac:dyDescent="0.3">
      <c r="A606" s="3">
        <v>10605</v>
      </c>
      <c r="B606" s="1">
        <v>45804</v>
      </c>
      <c r="C606" s="3" t="s">
        <v>168</v>
      </c>
      <c r="D606" s="3" t="s">
        <v>14</v>
      </c>
      <c r="E606" t="s">
        <v>8</v>
      </c>
      <c r="F606" t="s">
        <v>52</v>
      </c>
      <c r="G606" t="str">
        <f>IF(ISBLANK(Table1[[#This Row],[State]]),"Unknown",Table1[[#This Row],[State]])</f>
        <v>Karnataka</v>
      </c>
      <c r="H606" t="s">
        <v>2</v>
      </c>
      <c r="J606" t="str">
        <f>IF(ISBLANK(Table1[[#This Row],[Product]]),"Unknown",Table1[[#This Row],[Product]])</f>
        <v>Unknown</v>
      </c>
      <c r="K606" s="3">
        <v>3</v>
      </c>
      <c r="L606" s="10">
        <v>1299</v>
      </c>
      <c r="M606" t="s">
        <v>26</v>
      </c>
      <c r="N606" t="str">
        <f>IF(ISBLANK(Table1[[#This Row],[Payment method]]),"Unknown",Table1[[#This Row],[Payment method]])</f>
        <v>Card</v>
      </c>
      <c r="O606" t="s">
        <v>17</v>
      </c>
      <c r="P606" t="str">
        <f>IF(Table1[[#This Row],[Unit price]]&gt;2000,"High Price","Standard Price")</f>
        <v>Standard Price</v>
      </c>
    </row>
    <row r="607" spans="1:16" x14ac:dyDescent="0.3">
      <c r="A607" s="3">
        <v>10606</v>
      </c>
      <c r="B607" s="1">
        <v>45787</v>
      </c>
      <c r="C607" s="3" t="s">
        <v>181</v>
      </c>
      <c r="D607" s="3" t="s">
        <v>14</v>
      </c>
      <c r="E607" t="s">
        <v>247</v>
      </c>
      <c r="F607" t="s">
        <v>36</v>
      </c>
      <c r="G607" t="str">
        <f>IF(ISBLANK(Table1[[#This Row],[State]]),"Unknown",Table1[[#This Row],[State]])</f>
        <v>Maharastra</v>
      </c>
      <c r="H607" t="s">
        <v>33</v>
      </c>
      <c r="I607" t="s">
        <v>37</v>
      </c>
      <c r="J607" t="str">
        <f>IF(ISBLANK(Table1[[#This Row],[Product]]),"Unknown",Table1[[#This Row],[Product]])</f>
        <v>Mouse</v>
      </c>
      <c r="K607" s="3">
        <v>4</v>
      </c>
      <c r="L607" s="10">
        <v>1299</v>
      </c>
      <c r="N607" t="str">
        <f>IF(ISBLANK(Table1[[#This Row],[Payment method]]),"Unknown",Table1[[#This Row],[Payment method]])</f>
        <v>Unknown</v>
      </c>
      <c r="O607" t="s">
        <v>58</v>
      </c>
      <c r="P607" t="str">
        <f>IF(Table1[[#This Row],[Unit price]]&gt;2000,"High Price","Standard Price")</f>
        <v>Standard Price</v>
      </c>
    </row>
    <row r="608" spans="1:16" x14ac:dyDescent="0.3">
      <c r="A608" s="3">
        <v>10607</v>
      </c>
      <c r="B608" s="1">
        <v>45728</v>
      </c>
      <c r="C608" s="3" t="s">
        <v>67</v>
      </c>
      <c r="D608" s="3" t="s">
        <v>39</v>
      </c>
      <c r="E608" t="s">
        <v>248</v>
      </c>
      <c r="F608" t="s">
        <v>52</v>
      </c>
      <c r="G608" t="str">
        <f>IF(ISBLANK(Table1[[#This Row],[State]]),"Unknown",Table1[[#This Row],[State]])</f>
        <v>Karnataka</v>
      </c>
      <c r="H608" t="s">
        <v>9</v>
      </c>
      <c r="I608" t="s">
        <v>16</v>
      </c>
      <c r="J608" t="str">
        <f>IF(ISBLANK(Table1[[#This Row],[Product]]),"Unknown",Table1[[#This Row],[Product]])</f>
        <v>Lamp</v>
      </c>
      <c r="K608" s="3">
        <v>3</v>
      </c>
      <c r="L608" s="10">
        <v>299</v>
      </c>
      <c r="M608" t="s">
        <v>11</v>
      </c>
      <c r="N608" t="str">
        <f>IF(ISBLANK(Table1[[#This Row],[Payment method]]),"Unknown",Table1[[#This Row],[Payment method]])</f>
        <v>Cash on Delivery</v>
      </c>
      <c r="O608" t="s">
        <v>12</v>
      </c>
      <c r="P608" t="str">
        <f>IF(Table1[[#This Row],[Unit price]]&gt;2000,"High Price","Standard Price")</f>
        <v>Standard Price</v>
      </c>
    </row>
    <row r="609" spans="1:16" x14ac:dyDescent="0.3">
      <c r="A609" s="3">
        <v>10608</v>
      </c>
      <c r="B609" s="1">
        <v>45747</v>
      </c>
      <c r="C609" s="3" t="s">
        <v>170</v>
      </c>
      <c r="D609" s="3" t="s">
        <v>14</v>
      </c>
      <c r="E609" t="s">
        <v>247</v>
      </c>
      <c r="F609" t="s">
        <v>15</v>
      </c>
      <c r="G609" t="str">
        <f>IF(ISBLANK(Table1[[#This Row],[State]]),"Unknown",Table1[[#This Row],[State]])</f>
        <v>Maharashtra</v>
      </c>
      <c r="H609" t="s">
        <v>9</v>
      </c>
      <c r="I609" t="s">
        <v>10</v>
      </c>
      <c r="J609" t="str">
        <f>IF(ISBLANK(Table1[[#This Row],[Product]]),"Unknown",Table1[[#This Row],[Product]])</f>
        <v>Chair</v>
      </c>
      <c r="K609" s="3">
        <v>1</v>
      </c>
      <c r="L609" s="10">
        <v>1999</v>
      </c>
      <c r="N609" t="str">
        <f>IF(ISBLANK(Table1[[#This Row],[Payment method]]),"Unknown",Table1[[#This Row],[Payment method]])</f>
        <v>Unknown</v>
      </c>
      <c r="O609" t="s">
        <v>58</v>
      </c>
      <c r="P609" t="str">
        <f>IF(Table1[[#This Row],[Unit price]]&gt;2000,"High Price","Standard Price")</f>
        <v>Standard Price</v>
      </c>
    </row>
    <row r="610" spans="1:16" x14ac:dyDescent="0.3">
      <c r="A610" s="3">
        <v>10609</v>
      </c>
      <c r="B610" s="1">
        <v>45812</v>
      </c>
      <c r="C610" s="3" t="s">
        <v>218</v>
      </c>
      <c r="D610" s="3" t="s">
        <v>57</v>
      </c>
      <c r="E610" t="s">
        <v>248</v>
      </c>
      <c r="F610" t="s">
        <v>52</v>
      </c>
      <c r="G610" t="str">
        <f>IF(ISBLANK(Table1[[#This Row],[State]]),"Unknown",Table1[[#This Row],[State]])</f>
        <v>Karnataka</v>
      </c>
      <c r="H610" t="s">
        <v>33</v>
      </c>
      <c r="I610" t="s">
        <v>37</v>
      </c>
      <c r="J610" t="str">
        <f>IF(ISBLANK(Table1[[#This Row],[Product]]),"Unknown",Table1[[#This Row],[Product]])</f>
        <v>Mouse</v>
      </c>
      <c r="K610" s="3">
        <v>3</v>
      </c>
      <c r="L610" s="10">
        <v>1999</v>
      </c>
      <c r="N610" t="str">
        <f>IF(ISBLANK(Table1[[#This Row],[Payment method]]),"Unknown",Table1[[#This Row],[Payment method]])</f>
        <v>Unknown</v>
      </c>
      <c r="O610" t="s">
        <v>12</v>
      </c>
      <c r="P610" t="str">
        <f>IF(Table1[[#This Row],[Unit price]]&gt;2000,"High Price","Standard Price")</f>
        <v>Standard Price</v>
      </c>
    </row>
    <row r="611" spans="1:16" x14ac:dyDescent="0.3">
      <c r="A611" s="3">
        <v>10610</v>
      </c>
      <c r="B611" s="1">
        <v>45774</v>
      </c>
      <c r="C611" s="3" t="s">
        <v>110</v>
      </c>
      <c r="D611" s="3" t="s">
        <v>1</v>
      </c>
      <c r="E611" t="s">
        <v>35</v>
      </c>
      <c r="F611" t="s">
        <v>36</v>
      </c>
      <c r="G611" t="str">
        <f>IF(ISBLANK(Table1[[#This Row],[State]]),"Unknown",Table1[[#This Row],[State]])</f>
        <v>Maharastra</v>
      </c>
      <c r="H611" t="s">
        <v>2</v>
      </c>
      <c r="I611" t="s">
        <v>3</v>
      </c>
      <c r="J611" t="str">
        <f>IF(ISBLANK(Table1[[#This Row],[Product]]),"Unknown",Table1[[#This Row],[Product]])</f>
        <v>T-Shirt</v>
      </c>
      <c r="K611" s="3">
        <v>2</v>
      </c>
      <c r="L611" s="10">
        <v>799</v>
      </c>
      <c r="M611" t="s">
        <v>11</v>
      </c>
      <c r="N611" t="str">
        <f>IF(ISBLANK(Table1[[#This Row],[Payment method]]),"Unknown",Table1[[#This Row],[Payment method]])</f>
        <v>Cash on Delivery</v>
      </c>
      <c r="O611" t="s">
        <v>58</v>
      </c>
      <c r="P611" t="str">
        <f>IF(Table1[[#This Row],[Unit price]]&gt;2000,"High Price","Standard Price")</f>
        <v>Standard Price</v>
      </c>
    </row>
    <row r="612" spans="1:16" x14ac:dyDescent="0.3">
      <c r="A612" s="3">
        <v>10611</v>
      </c>
      <c r="B612" s="1">
        <v>45800</v>
      </c>
      <c r="C612" s="3" t="s">
        <v>202</v>
      </c>
      <c r="D612" s="3" t="s">
        <v>23</v>
      </c>
      <c r="E612" t="s">
        <v>35</v>
      </c>
      <c r="F612" t="s">
        <v>15</v>
      </c>
      <c r="G612" t="str">
        <f>IF(ISBLANK(Table1[[#This Row],[State]]),"Unknown",Table1[[#This Row],[State]])</f>
        <v>Maharashtra</v>
      </c>
      <c r="H612" t="s">
        <v>2</v>
      </c>
      <c r="I612" t="s">
        <v>24</v>
      </c>
      <c r="J612" t="str">
        <f>IF(ISBLANK(Table1[[#This Row],[Product]]),"Unknown",Table1[[#This Row],[Product]])</f>
        <v>Jeans</v>
      </c>
      <c r="K612" s="3">
        <v>1</v>
      </c>
      <c r="L612" s="10">
        <v>1999</v>
      </c>
      <c r="N612" t="str">
        <f>IF(ISBLANK(Table1[[#This Row],[Payment method]]),"Unknown",Table1[[#This Row],[Payment method]])</f>
        <v>Unknown</v>
      </c>
      <c r="O612" t="s">
        <v>58</v>
      </c>
      <c r="P612" t="str">
        <f>IF(Table1[[#This Row],[Unit price]]&gt;2000,"High Price","Standard Price")</f>
        <v>Standard Price</v>
      </c>
    </row>
    <row r="613" spans="1:16" x14ac:dyDescent="0.3">
      <c r="A613" s="3">
        <v>10612</v>
      </c>
      <c r="B613" s="1">
        <v>45713</v>
      </c>
      <c r="C613" s="3" t="s">
        <v>112</v>
      </c>
      <c r="D613" s="3" t="s">
        <v>43</v>
      </c>
      <c r="E613" t="s">
        <v>249</v>
      </c>
      <c r="F613" t="s">
        <v>15</v>
      </c>
      <c r="G613" t="str">
        <f>IF(ISBLANK(Table1[[#This Row],[State]]),"Unknown",Table1[[#This Row],[State]])</f>
        <v>Maharashtra</v>
      </c>
      <c r="H613" t="s">
        <v>2</v>
      </c>
      <c r="I613" t="s">
        <v>3</v>
      </c>
      <c r="J613" t="str">
        <f>IF(ISBLANK(Table1[[#This Row],[Product]]),"Unknown",Table1[[#This Row],[Product]])</f>
        <v>T-Shirt</v>
      </c>
      <c r="K613" s="3">
        <v>2</v>
      </c>
      <c r="L613" s="10">
        <v>1299</v>
      </c>
      <c r="N613" t="str">
        <f>IF(ISBLANK(Table1[[#This Row],[Payment method]]),"Unknown",Table1[[#This Row],[Payment method]])</f>
        <v>Unknown</v>
      </c>
      <c r="O613" t="s">
        <v>12</v>
      </c>
      <c r="P613" t="str">
        <f>IF(Table1[[#This Row],[Unit price]]&gt;2000,"High Price","Standard Price")</f>
        <v>Standard Price</v>
      </c>
    </row>
    <row r="614" spans="1:16" x14ac:dyDescent="0.3">
      <c r="A614" s="3">
        <v>10613</v>
      </c>
      <c r="B614" s="1">
        <v>45827</v>
      </c>
      <c r="C614" s="3" t="s">
        <v>229</v>
      </c>
      <c r="D614" s="3" t="s">
        <v>7</v>
      </c>
      <c r="E614" t="s">
        <v>35</v>
      </c>
      <c r="F614" t="s">
        <v>15</v>
      </c>
      <c r="G614" t="str">
        <f>IF(ISBLANK(Table1[[#This Row],[State]]),"Unknown",Table1[[#This Row],[State]])</f>
        <v>Maharashtra</v>
      </c>
      <c r="H614" t="s">
        <v>9</v>
      </c>
      <c r="I614" t="s">
        <v>16</v>
      </c>
      <c r="J614" t="str">
        <f>IF(ISBLANK(Table1[[#This Row],[Product]]),"Unknown",Table1[[#This Row],[Product]])</f>
        <v>Lamp</v>
      </c>
      <c r="K614" s="3">
        <v>5</v>
      </c>
      <c r="L614" s="10">
        <v>299</v>
      </c>
      <c r="M614" t="s">
        <v>11</v>
      </c>
      <c r="N614" t="str">
        <f>IF(ISBLANK(Table1[[#This Row],[Payment method]]),"Unknown",Table1[[#This Row],[Payment method]])</f>
        <v>Cash on Delivery</v>
      </c>
      <c r="O614" t="s">
        <v>12</v>
      </c>
      <c r="P614" t="str">
        <f>IF(Table1[[#This Row],[Unit price]]&gt;2000,"High Price","Standard Price")</f>
        <v>Standard Price</v>
      </c>
    </row>
    <row r="615" spans="1:16" x14ac:dyDescent="0.3">
      <c r="A615" s="3">
        <v>10614</v>
      </c>
      <c r="B615" s="1">
        <v>45793</v>
      </c>
      <c r="C615" s="3" t="s">
        <v>40</v>
      </c>
      <c r="D615" s="3" t="s">
        <v>39</v>
      </c>
      <c r="E615" t="s">
        <v>32</v>
      </c>
      <c r="F615" t="s">
        <v>15</v>
      </c>
      <c r="G615" t="str">
        <f>IF(ISBLANK(Table1[[#This Row],[State]]),"Unknown",Table1[[#This Row],[State]])</f>
        <v>Maharashtra</v>
      </c>
      <c r="H615" t="s">
        <v>9</v>
      </c>
      <c r="I615" t="s">
        <v>16</v>
      </c>
      <c r="J615" t="str">
        <f>IF(ISBLANK(Table1[[#This Row],[Product]]),"Unknown",Table1[[#This Row],[Product]])</f>
        <v>Lamp</v>
      </c>
      <c r="K615" s="3">
        <v>5</v>
      </c>
      <c r="L615" s="10">
        <v>799</v>
      </c>
      <c r="N615" t="str">
        <f>IF(ISBLANK(Table1[[#This Row],[Payment method]]),"Unknown",Table1[[#This Row],[Payment method]])</f>
        <v>Unknown</v>
      </c>
      <c r="O615" t="s">
        <v>12</v>
      </c>
      <c r="P615" t="str">
        <f>IF(Table1[[#This Row],[Unit price]]&gt;2000,"High Price","Standard Price")</f>
        <v>Standard Price</v>
      </c>
    </row>
    <row r="616" spans="1:16" x14ac:dyDescent="0.3">
      <c r="A616" s="3">
        <v>10615</v>
      </c>
      <c r="B616" s="1">
        <v>45787</v>
      </c>
      <c r="C616" s="3" t="s">
        <v>92</v>
      </c>
      <c r="D616" s="3" t="s">
        <v>23</v>
      </c>
      <c r="E616" t="s">
        <v>249</v>
      </c>
      <c r="F616" t="s">
        <v>36</v>
      </c>
      <c r="G616" t="str">
        <f>IF(ISBLANK(Table1[[#This Row],[State]]),"Unknown",Table1[[#This Row],[State]])</f>
        <v>Maharastra</v>
      </c>
      <c r="H616" t="s">
        <v>9</v>
      </c>
      <c r="I616" t="s">
        <v>10</v>
      </c>
      <c r="J616" t="str">
        <f>IF(ISBLANK(Table1[[#This Row],[Product]]),"Unknown",Table1[[#This Row],[Product]])</f>
        <v>Chair</v>
      </c>
      <c r="K616" s="3">
        <v>3</v>
      </c>
      <c r="L616" s="10">
        <v>299</v>
      </c>
      <c r="M616" t="s">
        <v>11</v>
      </c>
      <c r="N616" t="str">
        <f>IF(ISBLANK(Table1[[#This Row],[Payment method]]),"Unknown",Table1[[#This Row],[Payment method]])</f>
        <v>Cash on Delivery</v>
      </c>
      <c r="O616" t="s">
        <v>12</v>
      </c>
      <c r="P616" t="str">
        <f>IF(Table1[[#This Row],[Unit price]]&gt;2000,"High Price","Standard Price")</f>
        <v>Standard Price</v>
      </c>
    </row>
    <row r="617" spans="1:16" x14ac:dyDescent="0.3">
      <c r="A617" s="3">
        <v>10616</v>
      </c>
      <c r="B617" s="1">
        <v>45836</v>
      </c>
      <c r="C617" s="3" t="s">
        <v>156</v>
      </c>
      <c r="D617" s="3" t="s">
        <v>23</v>
      </c>
      <c r="E617" t="s">
        <v>45</v>
      </c>
      <c r="F617" t="s">
        <v>54</v>
      </c>
      <c r="G617" t="str">
        <f>IF(ISBLANK(Table1[[#This Row],[State]]),"Unknown",Table1[[#This Row],[State]])</f>
        <v>Uttar Pradesh</v>
      </c>
      <c r="H617" t="s">
        <v>2</v>
      </c>
      <c r="I617" t="s">
        <v>3</v>
      </c>
      <c r="J617" t="str">
        <f>IF(ISBLANK(Table1[[#This Row],[Product]]),"Unknown",Table1[[#This Row],[Product]])</f>
        <v>T-Shirt</v>
      </c>
      <c r="K617" s="3">
        <v>2</v>
      </c>
      <c r="L617" s="10">
        <v>499</v>
      </c>
      <c r="M617" t="s">
        <v>4</v>
      </c>
      <c r="N617" t="str">
        <f>IF(ISBLANK(Table1[[#This Row],[Payment method]]),"Unknown",Table1[[#This Row],[Payment method]])</f>
        <v>Net Banking</v>
      </c>
      <c r="O617" t="s">
        <v>5</v>
      </c>
      <c r="P617" t="str">
        <f>IF(Table1[[#This Row],[Unit price]]&gt;2000,"High Price","Standard Price")</f>
        <v>Standard Price</v>
      </c>
    </row>
    <row r="618" spans="1:16" x14ac:dyDescent="0.3">
      <c r="A618" s="3">
        <v>10617</v>
      </c>
      <c r="B618" s="1">
        <v>45726</v>
      </c>
      <c r="C618" s="3" t="s">
        <v>113</v>
      </c>
      <c r="D618" s="3" t="s">
        <v>39</v>
      </c>
      <c r="E618" t="s">
        <v>20</v>
      </c>
      <c r="F618" t="s">
        <v>20</v>
      </c>
      <c r="G618" t="str">
        <f>IF(ISBLANK(Table1[[#This Row],[State]]),"Unknown",Table1[[#This Row],[State]])</f>
        <v>Delhi</v>
      </c>
      <c r="H618" t="s">
        <v>33</v>
      </c>
      <c r="I618" t="s">
        <v>37</v>
      </c>
      <c r="J618" t="str">
        <f>IF(ISBLANK(Table1[[#This Row],[Product]]),"Unknown",Table1[[#This Row],[Product]])</f>
        <v>Mouse</v>
      </c>
      <c r="K618" s="3">
        <v>2</v>
      </c>
      <c r="L618" s="10">
        <v>799</v>
      </c>
      <c r="M618" t="s">
        <v>26</v>
      </c>
      <c r="N618" t="str">
        <f>IF(ISBLANK(Table1[[#This Row],[Payment method]]),"Unknown",Table1[[#This Row],[Payment method]])</f>
        <v>Card</v>
      </c>
      <c r="O618" t="s">
        <v>12</v>
      </c>
      <c r="P618" t="str">
        <f>IF(Table1[[#This Row],[Unit price]]&gt;2000,"High Price","Standard Price")</f>
        <v>Standard Price</v>
      </c>
    </row>
    <row r="619" spans="1:16" x14ac:dyDescent="0.3">
      <c r="A619" s="3">
        <v>10618</v>
      </c>
      <c r="B619" s="1">
        <v>45834</v>
      </c>
      <c r="C619" s="3" t="s">
        <v>127</v>
      </c>
      <c r="D619" s="3" t="s">
        <v>1</v>
      </c>
      <c r="E619" t="s">
        <v>45</v>
      </c>
      <c r="F619" t="s">
        <v>54</v>
      </c>
      <c r="G619" t="str">
        <f>IF(ISBLANK(Table1[[#This Row],[State]]),"Unknown",Table1[[#This Row],[State]])</f>
        <v>Uttar Pradesh</v>
      </c>
      <c r="H619" t="s">
        <v>2</v>
      </c>
      <c r="I619" t="s">
        <v>24</v>
      </c>
      <c r="J619" t="str">
        <f>IF(ISBLANK(Table1[[#This Row],[Product]]),"Unknown",Table1[[#This Row],[Product]])</f>
        <v>Jeans</v>
      </c>
      <c r="K619" s="3">
        <v>5</v>
      </c>
      <c r="L619" s="10">
        <v>499</v>
      </c>
      <c r="M619" t="s">
        <v>11</v>
      </c>
      <c r="N619" t="str">
        <f>IF(ISBLANK(Table1[[#This Row],[Payment method]]),"Unknown",Table1[[#This Row],[Payment method]])</f>
        <v>Cash on Delivery</v>
      </c>
      <c r="O619" t="s">
        <v>5</v>
      </c>
      <c r="P619" t="str">
        <f>IF(Table1[[#This Row],[Unit price]]&gt;2000,"High Price","Standard Price")</f>
        <v>Standard Price</v>
      </c>
    </row>
    <row r="620" spans="1:16" x14ac:dyDescent="0.3">
      <c r="A620" s="3">
        <v>10619</v>
      </c>
      <c r="B620" s="1">
        <v>45672</v>
      </c>
      <c r="C620" s="3" t="s">
        <v>0</v>
      </c>
      <c r="D620" s="3" t="s">
        <v>23</v>
      </c>
      <c r="E620" t="s">
        <v>45</v>
      </c>
      <c r="F620" t="s">
        <v>54</v>
      </c>
      <c r="G620" t="str">
        <f>IF(ISBLANK(Table1[[#This Row],[State]]),"Unknown",Table1[[#This Row],[State]])</f>
        <v>Uttar Pradesh</v>
      </c>
      <c r="H620" t="s">
        <v>2</v>
      </c>
      <c r="I620" t="s">
        <v>24</v>
      </c>
      <c r="J620" t="str">
        <f>IF(ISBLANK(Table1[[#This Row],[Product]]),"Unknown",Table1[[#This Row],[Product]])</f>
        <v>Jeans</v>
      </c>
      <c r="K620" s="3">
        <v>1</v>
      </c>
      <c r="L620" s="10">
        <v>499</v>
      </c>
      <c r="M620" t="s">
        <v>4</v>
      </c>
      <c r="N620" t="str">
        <f>IF(ISBLANK(Table1[[#This Row],[Payment method]]),"Unknown",Table1[[#This Row],[Payment method]])</f>
        <v>Net Banking</v>
      </c>
      <c r="O620" t="s">
        <v>5</v>
      </c>
      <c r="P620" t="str">
        <f>IF(Table1[[#This Row],[Unit price]]&gt;2000,"High Price","Standard Price")</f>
        <v>Standard Price</v>
      </c>
    </row>
    <row r="621" spans="1:16" x14ac:dyDescent="0.3">
      <c r="A621" s="3">
        <v>10620</v>
      </c>
      <c r="B621" s="1">
        <v>45994</v>
      </c>
      <c r="C621" s="3" t="s">
        <v>64</v>
      </c>
      <c r="D621" s="3" t="s">
        <v>57</v>
      </c>
      <c r="E621" t="s">
        <v>35</v>
      </c>
      <c r="F621" t="s">
        <v>36</v>
      </c>
      <c r="G621" t="str">
        <f>IF(ISBLANK(Table1[[#This Row],[State]]),"Unknown",Table1[[#This Row],[State]])</f>
        <v>Maharastra</v>
      </c>
      <c r="H621" t="s">
        <v>2</v>
      </c>
      <c r="I621" t="s">
        <v>3</v>
      </c>
      <c r="J621" t="str">
        <f>IF(ISBLANK(Table1[[#This Row],[Product]]),"Unknown",Table1[[#This Row],[Product]])</f>
        <v>T-Shirt</v>
      </c>
      <c r="K621" s="3">
        <v>1</v>
      </c>
      <c r="L621" s="10">
        <v>1299</v>
      </c>
      <c r="M621" t="s">
        <v>4</v>
      </c>
      <c r="N621" t="str">
        <f>IF(ISBLANK(Table1[[#This Row],[Payment method]]),"Unknown",Table1[[#This Row],[Payment method]])</f>
        <v>Net Banking</v>
      </c>
      <c r="O621" t="s">
        <v>12</v>
      </c>
      <c r="P621" t="str">
        <f>IF(Table1[[#This Row],[Unit price]]&gt;2000,"High Price","Standard Price")</f>
        <v>Standard Price</v>
      </c>
    </row>
    <row r="622" spans="1:16" x14ac:dyDescent="0.3">
      <c r="A622" s="3">
        <v>10621</v>
      </c>
      <c r="B622" s="1">
        <v>45711</v>
      </c>
      <c r="C622" s="3" t="s">
        <v>66</v>
      </c>
      <c r="D622" s="3" t="s">
        <v>14</v>
      </c>
      <c r="E622" t="s">
        <v>20</v>
      </c>
      <c r="G622" t="str">
        <f>IF(ISBLANK(Table1[[#This Row],[State]]),"Unknown",Table1[[#This Row],[State]])</f>
        <v>Unknown</v>
      </c>
      <c r="H622" t="s">
        <v>2</v>
      </c>
      <c r="I622" t="s">
        <v>3</v>
      </c>
      <c r="J622" t="str">
        <f>IF(ISBLANK(Table1[[#This Row],[Product]]),"Unknown",Table1[[#This Row],[Product]])</f>
        <v>T-Shirt</v>
      </c>
      <c r="K622" s="3">
        <v>5</v>
      </c>
      <c r="L622" s="10">
        <v>999999</v>
      </c>
      <c r="M622" t="s">
        <v>26</v>
      </c>
      <c r="N622" t="str">
        <f>IF(ISBLANK(Table1[[#This Row],[Payment method]]),"Unknown",Table1[[#This Row],[Payment method]])</f>
        <v>Card</v>
      </c>
      <c r="O622" t="s">
        <v>12</v>
      </c>
      <c r="P622" t="str">
        <f>IF(Table1[[#This Row],[Unit price]]&gt;2000,"High Price","Standard Price")</f>
        <v>High Price</v>
      </c>
    </row>
    <row r="623" spans="1:16" x14ac:dyDescent="0.3">
      <c r="A623" s="3">
        <v>10622</v>
      </c>
      <c r="B623" s="1">
        <v>45775</v>
      </c>
      <c r="C623" s="3" t="s">
        <v>196</v>
      </c>
      <c r="D623" s="3" t="s">
        <v>14</v>
      </c>
      <c r="E623" t="s">
        <v>32</v>
      </c>
      <c r="F623" t="s">
        <v>15</v>
      </c>
      <c r="G623" t="str">
        <f>IF(ISBLANK(Table1[[#This Row],[State]]),"Unknown",Table1[[#This Row],[State]])</f>
        <v>Maharashtra</v>
      </c>
      <c r="H623" t="s">
        <v>2</v>
      </c>
      <c r="I623" t="s">
        <v>24</v>
      </c>
      <c r="J623" t="str">
        <f>IF(ISBLANK(Table1[[#This Row],[Product]]),"Unknown",Table1[[#This Row],[Product]])</f>
        <v>Jeans</v>
      </c>
      <c r="K623" s="3">
        <v>3</v>
      </c>
      <c r="L623" s="10">
        <v>1999</v>
      </c>
      <c r="N623" t="str">
        <f>IF(ISBLANK(Table1[[#This Row],[Payment method]]),"Unknown",Table1[[#This Row],[Payment method]])</f>
        <v>Unknown</v>
      </c>
      <c r="O623" t="s">
        <v>12</v>
      </c>
      <c r="P623" t="str">
        <f>IF(Table1[[#This Row],[Unit price]]&gt;2000,"High Price","Standard Price")</f>
        <v>Standard Price</v>
      </c>
    </row>
    <row r="624" spans="1:16" x14ac:dyDescent="0.3">
      <c r="A624" s="3">
        <v>10623</v>
      </c>
      <c r="B624" s="1">
        <v>45776</v>
      </c>
      <c r="C624" s="3" t="s">
        <v>220</v>
      </c>
      <c r="D624" s="3" t="s">
        <v>19</v>
      </c>
      <c r="E624" t="s">
        <v>248</v>
      </c>
      <c r="F624" t="s">
        <v>52</v>
      </c>
      <c r="G624" t="str">
        <f>IF(ISBLANK(Table1[[#This Row],[State]]),"Unknown",Table1[[#This Row],[State]])</f>
        <v>Karnataka</v>
      </c>
      <c r="H624" t="s">
        <v>2</v>
      </c>
      <c r="I624" t="s">
        <v>3</v>
      </c>
      <c r="J624" t="str">
        <f>IF(ISBLANK(Table1[[#This Row],[Product]]),"Unknown",Table1[[#This Row],[Product]])</f>
        <v>T-Shirt</v>
      </c>
      <c r="K624" s="3">
        <v>2</v>
      </c>
      <c r="L624" s="10">
        <v>499</v>
      </c>
      <c r="M624" t="s">
        <v>11</v>
      </c>
      <c r="N624" t="str">
        <f>IF(ISBLANK(Table1[[#This Row],[Payment method]]),"Unknown",Table1[[#This Row],[Payment method]])</f>
        <v>Cash on Delivery</v>
      </c>
      <c r="O624" t="s">
        <v>5</v>
      </c>
      <c r="P624" t="str">
        <f>IF(Table1[[#This Row],[Unit price]]&gt;2000,"High Price","Standard Price")</f>
        <v>Standard Price</v>
      </c>
    </row>
    <row r="625" spans="1:16" x14ac:dyDescent="0.3">
      <c r="A625" s="3">
        <v>10624</v>
      </c>
      <c r="B625" s="1">
        <v>45680</v>
      </c>
      <c r="C625" s="3" t="s">
        <v>84</v>
      </c>
      <c r="D625" s="3" t="s">
        <v>19</v>
      </c>
      <c r="E625" t="s">
        <v>20</v>
      </c>
      <c r="F625" t="s">
        <v>20</v>
      </c>
      <c r="G625" t="str">
        <f>IF(ISBLANK(Table1[[#This Row],[State]]),"Unknown",Table1[[#This Row],[State]])</f>
        <v>Delhi</v>
      </c>
      <c r="H625" t="s">
        <v>2</v>
      </c>
      <c r="I625" t="s">
        <v>3</v>
      </c>
      <c r="J625" t="str">
        <f>IF(ISBLANK(Table1[[#This Row],[Product]]),"Unknown",Table1[[#This Row],[Product]])</f>
        <v>T-Shirt</v>
      </c>
      <c r="K625" s="3">
        <v>2</v>
      </c>
      <c r="L625" s="10">
        <v>1299</v>
      </c>
      <c r="M625" t="s">
        <v>26</v>
      </c>
      <c r="N625" t="str">
        <f>IF(ISBLANK(Table1[[#This Row],[Payment method]]),"Unknown",Table1[[#This Row],[Payment method]])</f>
        <v>Card</v>
      </c>
      <c r="O625" t="s">
        <v>5</v>
      </c>
      <c r="P625" t="str">
        <f>IF(Table1[[#This Row],[Unit price]]&gt;2000,"High Price","Standard Price")</f>
        <v>Standard Price</v>
      </c>
    </row>
    <row r="626" spans="1:16" x14ac:dyDescent="0.3">
      <c r="A626" s="3">
        <v>10625</v>
      </c>
      <c r="B626" s="1">
        <v>45792</v>
      </c>
      <c r="C626" s="3" t="s">
        <v>91</v>
      </c>
      <c r="D626" s="3" t="s">
        <v>23</v>
      </c>
      <c r="E626" t="s">
        <v>8</v>
      </c>
      <c r="F626" t="s">
        <v>52</v>
      </c>
      <c r="G626" t="str">
        <f>IF(ISBLANK(Table1[[#This Row],[State]]),"Unknown",Table1[[#This Row],[State]])</f>
        <v>Karnataka</v>
      </c>
      <c r="H626" t="s">
        <v>33</v>
      </c>
      <c r="I626" t="s">
        <v>21</v>
      </c>
      <c r="J626" t="str">
        <f>IF(ISBLANK(Table1[[#This Row],[Product]]),"Unknown",Table1[[#This Row],[Product]])</f>
        <v>Headphones</v>
      </c>
      <c r="K626" s="3">
        <v>5</v>
      </c>
      <c r="L626" s="10">
        <v>1299</v>
      </c>
      <c r="M626" t="s">
        <v>4</v>
      </c>
      <c r="N626" t="str">
        <f>IF(ISBLANK(Table1[[#This Row],[Payment method]]),"Unknown",Table1[[#This Row],[Payment method]])</f>
        <v>Net Banking</v>
      </c>
      <c r="O626" t="s">
        <v>58</v>
      </c>
      <c r="P626" t="str">
        <f>IF(Table1[[#This Row],[Unit price]]&gt;2000,"High Price","Standard Price")</f>
        <v>Standard Price</v>
      </c>
    </row>
    <row r="627" spans="1:16" x14ac:dyDescent="0.3">
      <c r="A627" s="3">
        <v>10626</v>
      </c>
      <c r="B627" s="1">
        <v>45716</v>
      </c>
      <c r="C627" s="3" t="s">
        <v>162</v>
      </c>
      <c r="D627" s="3" t="s">
        <v>57</v>
      </c>
      <c r="E627" t="s">
        <v>35</v>
      </c>
      <c r="F627" t="s">
        <v>15</v>
      </c>
      <c r="G627" t="str">
        <f>IF(ISBLANK(Table1[[#This Row],[State]]),"Unknown",Table1[[#This Row],[State]])</f>
        <v>Maharashtra</v>
      </c>
      <c r="H627" t="s">
        <v>2</v>
      </c>
      <c r="I627" t="s">
        <v>3</v>
      </c>
      <c r="J627" t="str">
        <f>IF(ISBLANK(Table1[[#This Row],[Product]]),"Unknown",Table1[[#This Row],[Product]])</f>
        <v>T-Shirt</v>
      </c>
      <c r="K627" s="3">
        <v>4</v>
      </c>
      <c r="L627" s="10">
        <v>1299</v>
      </c>
      <c r="M627" t="s">
        <v>26</v>
      </c>
      <c r="N627" t="str">
        <f>IF(ISBLANK(Table1[[#This Row],[Payment method]]),"Unknown",Table1[[#This Row],[Payment method]])</f>
        <v>Card</v>
      </c>
      <c r="O627" t="s">
        <v>58</v>
      </c>
      <c r="P627" t="str">
        <f>IF(Table1[[#This Row],[Unit price]]&gt;2000,"High Price","Standard Price")</f>
        <v>Standard Price</v>
      </c>
    </row>
    <row r="628" spans="1:16" x14ac:dyDescent="0.3">
      <c r="A628" s="3">
        <v>10627</v>
      </c>
      <c r="B628" s="1">
        <v>45700</v>
      </c>
      <c r="C628" s="3" t="s">
        <v>192</v>
      </c>
      <c r="D628" s="3" t="s">
        <v>23</v>
      </c>
      <c r="E628" t="s">
        <v>32</v>
      </c>
      <c r="G628" t="str">
        <f>IF(ISBLANK(Table1[[#This Row],[State]]),"Unknown",Table1[[#This Row],[State]])</f>
        <v>Unknown</v>
      </c>
      <c r="H628" t="s">
        <v>9</v>
      </c>
      <c r="I628" t="s">
        <v>10</v>
      </c>
      <c r="J628" t="str">
        <f>IF(ISBLANK(Table1[[#This Row],[Product]]),"Unknown",Table1[[#This Row],[Product]])</f>
        <v>Chair</v>
      </c>
      <c r="K628" s="3">
        <v>5</v>
      </c>
      <c r="L628" s="10">
        <v>799</v>
      </c>
      <c r="N628" t="str">
        <f>IF(ISBLANK(Table1[[#This Row],[Payment method]]),"Unknown",Table1[[#This Row],[Payment method]])</f>
        <v>Unknown</v>
      </c>
      <c r="O628" t="s">
        <v>12</v>
      </c>
      <c r="P628" t="str">
        <f>IF(Table1[[#This Row],[Unit price]]&gt;2000,"High Price","Standard Price")</f>
        <v>Standard Price</v>
      </c>
    </row>
    <row r="629" spans="1:16" x14ac:dyDescent="0.3">
      <c r="A629" s="3">
        <v>10628</v>
      </c>
      <c r="B629" s="1">
        <v>45748</v>
      </c>
      <c r="C629" s="3" t="s">
        <v>77</v>
      </c>
      <c r="D629" s="3" t="s">
        <v>23</v>
      </c>
      <c r="E629" t="s">
        <v>20</v>
      </c>
      <c r="F629" t="s">
        <v>20</v>
      </c>
      <c r="G629" t="str">
        <f>IF(ISBLANK(Table1[[#This Row],[State]]),"Unknown",Table1[[#This Row],[State]])</f>
        <v>Delhi</v>
      </c>
      <c r="H629" t="s">
        <v>2</v>
      </c>
      <c r="I629" t="s">
        <v>3</v>
      </c>
      <c r="J629" t="str">
        <f>IF(ISBLANK(Table1[[#This Row],[Product]]),"Unknown",Table1[[#This Row],[Product]])</f>
        <v>T-Shirt</v>
      </c>
      <c r="K629" s="3">
        <v>1</v>
      </c>
      <c r="L629" s="10">
        <v>1299</v>
      </c>
      <c r="M629" t="s">
        <v>26</v>
      </c>
      <c r="N629" t="str">
        <f>IF(ISBLANK(Table1[[#This Row],[Payment method]]),"Unknown",Table1[[#This Row],[Payment method]])</f>
        <v>Card</v>
      </c>
      <c r="O629" t="s">
        <v>12</v>
      </c>
      <c r="P629" t="str">
        <f>IF(Table1[[#This Row],[Unit price]]&gt;2000,"High Price","Standard Price")</f>
        <v>Standard Price</v>
      </c>
    </row>
    <row r="630" spans="1:16" x14ac:dyDescent="0.3">
      <c r="A630" s="3">
        <v>10629</v>
      </c>
      <c r="B630" s="1">
        <v>45812</v>
      </c>
      <c r="C630" s="3" t="s">
        <v>230</v>
      </c>
      <c r="D630" s="3" t="s">
        <v>23</v>
      </c>
      <c r="E630" t="s">
        <v>249</v>
      </c>
      <c r="G630" t="str">
        <f>IF(ISBLANK(Table1[[#This Row],[State]]),"Unknown",Table1[[#This Row],[State]])</f>
        <v>Unknown</v>
      </c>
      <c r="H630" t="s">
        <v>9</v>
      </c>
      <c r="I630" t="s">
        <v>10</v>
      </c>
      <c r="J630" t="str">
        <f>IF(ISBLANK(Table1[[#This Row],[Product]]),"Unknown",Table1[[#This Row],[Product]])</f>
        <v>Chair</v>
      </c>
      <c r="K630" s="3">
        <v>5</v>
      </c>
      <c r="L630" s="10">
        <v>299</v>
      </c>
      <c r="N630" t="str">
        <f>IF(ISBLANK(Table1[[#This Row],[Payment method]]),"Unknown",Table1[[#This Row],[Payment method]])</f>
        <v>Unknown</v>
      </c>
      <c r="O630" t="s">
        <v>58</v>
      </c>
      <c r="P630" t="str">
        <f>IF(Table1[[#This Row],[Unit price]]&gt;2000,"High Price","Standard Price")</f>
        <v>Standard Price</v>
      </c>
    </row>
    <row r="631" spans="1:16" x14ac:dyDescent="0.3">
      <c r="A631" s="3">
        <v>10630</v>
      </c>
      <c r="B631" s="1">
        <v>45777</v>
      </c>
      <c r="C631" s="3" t="s">
        <v>214</v>
      </c>
      <c r="D631" s="3" t="s">
        <v>14</v>
      </c>
      <c r="E631" t="s">
        <v>45</v>
      </c>
      <c r="F631" t="s">
        <v>54</v>
      </c>
      <c r="G631" t="str">
        <f>IF(ISBLANK(Table1[[#This Row],[State]]),"Unknown",Table1[[#This Row],[State]])</f>
        <v>Uttar Pradesh</v>
      </c>
      <c r="H631" t="s">
        <v>2</v>
      </c>
      <c r="I631" t="s">
        <v>3</v>
      </c>
      <c r="J631" t="str">
        <f>IF(ISBLANK(Table1[[#This Row],[Product]]),"Unknown",Table1[[#This Row],[Product]])</f>
        <v>T-Shirt</v>
      </c>
      <c r="K631" s="3">
        <v>1</v>
      </c>
      <c r="L631" s="10">
        <v>1999</v>
      </c>
      <c r="M631" t="s">
        <v>4</v>
      </c>
      <c r="N631" t="str">
        <f>IF(ISBLANK(Table1[[#This Row],[Payment method]]),"Unknown",Table1[[#This Row],[Payment method]])</f>
        <v>Net Banking</v>
      </c>
      <c r="O631" t="s">
        <v>17</v>
      </c>
      <c r="P631" t="str">
        <f>IF(Table1[[#This Row],[Unit price]]&gt;2000,"High Price","Standard Price")</f>
        <v>Standard Price</v>
      </c>
    </row>
    <row r="632" spans="1:16" x14ac:dyDescent="0.3">
      <c r="A632" s="3">
        <v>10631</v>
      </c>
      <c r="B632" s="1">
        <v>45823</v>
      </c>
      <c r="C632" s="3" t="s">
        <v>61</v>
      </c>
      <c r="D632" s="3" t="s">
        <v>14</v>
      </c>
      <c r="E632" t="s">
        <v>8</v>
      </c>
      <c r="F632" t="s">
        <v>52</v>
      </c>
      <c r="G632" t="str">
        <f>IF(ISBLANK(Table1[[#This Row],[State]]),"Unknown",Table1[[#This Row],[State]])</f>
        <v>Karnataka</v>
      </c>
      <c r="H632" t="s">
        <v>9</v>
      </c>
      <c r="I632" t="s">
        <v>16</v>
      </c>
      <c r="J632" t="str">
        <f>IF(ISBLANK(Table1[[#This Row],[Product]]),"Unknown",Table1[[#This Row],[Product]])</f>
        <v>Lamp</v>
      </c>
      <c r="K632" s="3">
        <v>5</v>
      </c>
      <c r="L632" s="10">
        <v>499</v>
      </c>
      <c r="N632" t="str">
        <f>IF(ISBLANK(Table1[[#This Row],[Payment method]]),"Unknown",Table1[[#This Row],[Payment method]])</f>
        <v>Unknown</v>
      </c>
      <c r="O632" t="s">
        <v>58</v>
      </c>
      <c r="P632" t="str">
        <f>IF(Table1[[#This Row],[Unit price]]&gt;2000,"High Price","Standard Price")</f>
        <v>Standard Price</v>
      </c>
    </row>
    <row r="633" spans="1:16" x14ac:dyDescent="0.3">
      <c r="A633" s="3">
        <v>10632</v>
      </c>
      <c r="B633" s="1">
        <v>45749</v>
      </c>
      <c r="C633" s="3" t="s">
        <v>81</v>
      </c>
      <c r="D633" s="3" t="s">
        <v>7</v>
      </c>
      <c r="E633" t="s">
        <v>45</v>
      </c>
      <c r="F633" t="s">
        <v>54</v>
      </c>
      <c r="G633" t="str">
        <f>IF(ISBLANK(Table1[[#This Row],[State]]),"Unknown",Table1[[#This Row],[State]])</f>
        <v>Uttar Pradesh</v>
      </c>
      <c r="H633" t="s">
        <v>33</v>
      </c>
      <c r="J633" t="str">
        <f>IF(ISBLANK(Table1[[#This Row],[Product]]),"Unknown",Table1[[#This Row],[Product]])</f>
        <v>Unknown</v>
      </c>
      <c r="K633" s="3">
        <v>2</v>
      </c>
      <c r="L633" s="10">
        <v>1999</v>
      </c>
      <c r="M633" t="s">
        <v>11</v>
      </c>
      <c r="N633" t="str">
        <f>IF(ISBLANK(Table1[[#This Row],[Payment method]]),"Unknown",Table1[[#This Row],[Payment method]])</f>
        <v>Cash on Delivery</v>
      </c>
      <c r="O633" t="s">
        <v>58</v>
      </c>
      <c r="P633" t="str">
        <f>IF(Table1[[#This Row],[Unit price]]&gt;2000,"High Price","Standard Price")</f>
        <v>Standard Price</v>
      </c>
    </row>
    <row r="634" spans="1:16" x14ac:dyDescent="0.3">
      <c r="A634" s="3">
        <v>10633</v>
      </c>
      <c r="B634" s="1">
        <v>45831</v>
      </c>
      <c r="C634" s="3" t="s">
        <v>111</v>
      </c>
      <c r="D634" s="3" t="s">
        <v>57</v>
      </c>
      <c r="E634" t="s">
        <v>35</v>
      </c>
      <c r="F634" t="s">
        <v>36</v>
      </c>
      <c r="G634" t="str">
        <f>IF(ISBLANK(Table1[[#This Row],[State]]),"Unknown",Table1[[#This Row],[State]])</f>
        <v>Maharastra</v>
      </c>
      <c r="H634" t="s">
        <v>9</v>
      </c>
      <c r="I634" t="s">
        <v>10</v>
      </c>
      <c r="J634" t="str">
        <f>IF(ISBLANK(Table1[[#This Row],[Product]]),"Unknown",Table1[[#This Row],[Product]])</f>
        <v>Chair</v>
      </c>
      <c r="K634" s="3">
        <v>0</v>
      </c>
      <c r="L634" s="10">
        <v>299</v>
      </c>
      <c r="N634" t="str">
        <f>IF(ISBLANK(Table1[[#This Row],[Payment method]]),"Unknown",Table1[[#This Row],[Payment method]])</f>
        <v>Unknown</v>
      </c>
      <c r="O634" t="s">
        <v>17</v>
      </c>
      <c r="P634" t="str">
        <f>IF(Table1[[#This Row],[Unit price]]&gt;2000,"High Price","Standard Price")</f>
        <v>Standard Price</v>
      </c>
    </row>
    <row r="635" spans="1:16" x14ac:dyDescent="0.3">
      <c r="A635" s="3">
        <v>10634</v>
      </c>
      <c r="B635" s="1">
        <v>45714</v>
      </c>
      <c r="C635" s="3" t="s">
        <v>88</v>
      </c>
      <c r="D635" s="3" t="s">
        <v>39</v>
      </c>
      <c r="E635" t="s">
        <v>8</v>
      </c>
      <c r="F635" t="s">
        <v>52</v>
      </c>
      <c r="G635" t="str">
        <f>IF(ISBLANK(Table1[[#This Row],[State]]),"Unknown",Table1[[#This Row],[State]])</f>
        <v>Karnataka</v>
      </c>
      <c r="H635" t="s">
        <v>9</v>
      </c>
      <c r="I635" t="s">
        <v>10</v>
      </c>
      <c r="J635" t="str">
        <f>IF(ISBLANK(Table1[[#This Row],[Product]]),"Unknown",Table1[[#This Row],[Product]])</f>
        <v>Chair</v>
      </c>
      <c r="K635" s="3">
        <v>4</v>
      </c>
      <c r="L635" s="10">
        <v>999999</v>
      </c>
      <c r="N635" t="str">
        <f>IF(ISBLANK(Table1[[#This Row],[Payment method]]),"Unknown",Table1[[#This Row],[Payment method]])</f>
        <v>Unknown</v>
      </c>
      <c r="O635" t="s">
        <v>17</v>
      </c>
      <c r="P635" t="str">
        <f>IF(Table1[[#This Row],[Unit price]]&gt;2000,"High Price","Standard Price")</f>
        <v>High Price</v>
      </c>
    </row>
    <row r="636" spans="1:16" x14ac:dyDescent="0.3">
      <c r="A636" s="3">
        <v>10635</v>
      </c>
      <c r="B636" s="1">
        <v>45819</v>
      </c>
      <c r="C636" s="3" t="s">
        <v>120</v>
      </c>
      <c r="D636" s="3" t="s">
        <v>43</v>
      </c>
      <c r="E636" t="s">
        <v>35</v>
      </c>
      <c r="F636" t="s">
        <v>15</v>
      </c>
      <c r="G636" t="str">
        <f>IF(ISBLANK(Table1[[#This Row],[State]]),"Unknown",Table1[[#This Row],[State]])</f>
        <v>Maharashtra</v>
      </c>
      <c r="H636" t="s">
        <v>2</v>
      </c>
      <c r="I636" t="s">
        <v>3</v>
      </c>
      <c r="J636" t="str">
        <f>IF(ISBLANK(Table1[[#This Row],[Product]]),"Unknown",Table1[[#This Row],[Product]])</f>
        <v>T-Shirt</v>
      </c>
      <c r="K636" s="3">
        <v>5</v>
      </c>
      <c r="L636" s="10">
        <v>1299</v>
      </c>
      <c r="M636" t="s">
        <v>11</v>
      </c>
      <c r="N636" t="str">
        <f>IF(ISBLANK(Table1[[#This Row],[Payment method]]),"Unknown",Table1[[#This Row],[Payment method]])</f>
        <v>Cash on Delivery</v>
      </c>
      <c r="O636" t="s">
        <v>5</v>
      </c>
      <c r="P636" t="str">
        <f>IF(Table1[[#This Row],[Unit price]]&gt;2000,"High Price","Standard Price")</f>
        <v>Standard Price</v>
      </c>
    </row>
    <row r="637" spans="1:16" x14ac:dyDescent="0.3">
      <c r="A637" s="3">
        <v>10636</v>
      </c>
      <c r="B637" s="1">
        <v>45800</v>
      </c>
      <c r="C637" s="3" t="s">
        <v>231</v>
      </c>
      <c r="D637" s="3" t="s">
        <v>19</v>
      </c>
      <c r="E637" t="s">
        <v>8</v>
      </c>
      <c r="F637" t="s">
        <v>52</v>
      </c>
      <c r="G637" t="str">
        <f>IF(ISBLANK(Table1[[#This Row],[State]]),"Unknown",Table1[[#This Row],[State]])</f>
        <v>Karnataka</v>
      </c>
      <c r="H637" t="s">
        <v>9</v>
      </c>
      <c r="I637" t="s">
        <v>16</v>
      </c>
      <c r="J637" t="str">
        <f>IF(ISBLANK(Table1[[#This Row],[Product]]),"Unknown",Table1[[#This Row],[Product]])</f>
        <v>Lamp</v>
      </c>
      <c r="K637" s="3">
        <v>2</v>
      </c>
      <c r="L637" s="10">
        <v>299</v>
      </c>
      <c r="M637" t="s">
        <v>11</v>
      </c>
      <c r="N637" t="str">
        <f>IF(ISBLANK(Table1[[#This Row],[Payment method]]),"Unknown",Table1[[#This Row],[Payment method]])</f>
        <v>Cash on Delivery</v>
      </c>
      <c r="O637" t="s">
        <v>12</v>
      </c>
      <c r="P637" t="str">
        <f>IF(Table1[[#This Row],[Unit price]]&gt;2000,"High Price","Standard Price")</f>
        <v>Standard Price</v>
      </c>
    </row>
    <row r="638" spans="1:16" x14ac:dyDescent="0.3">
      <c r="A638" s="3">
        <v>10637</v>
      </c>
      <c r="B638" s="1">
        <v>45664</v>
      </c>
      <c r="C638" s="3" t="s">
        <v>106</v>
      </c>
      <c r="D638" s="3" t="s">
        <v>39</v>
      </c>
      <c r="E638" t="s">
        <v>35</v>
      </c>
      <c r="F638" t="s">
        <v>36</v>
      </c>
      <c r="G638" t="str">
        <f>IF(ISBLANK(Table1[[#This Row],[State]]),"Unknown",Table1[[#This Row],[State]])</f>
        <v>Maharastra</v>
      </c>
      <c r="H638" t="s">
        <v>9</v>
      </c>
      <c r="I638" t="s">
        <v>10</v>
      </c>
      <c r="J638" t="str">
        <f>IF(ISBLANK(Table1[[#This Row],[Product]]),"Unknown",Table1[[#This Row],[Product]])</f>
        <v>Chair</v>
      </c>
      <c r="K638" s="3">
        <v>5</v>
      </c>
      <c r="L638" s="10">
        <v>299</v>
      </c>
      <c r="N638" t="str">
        <f>IF(ISBLANK(Table1[[#This Row],[Payment method]]),"Unknown",Table1[[#This Row],[Payment method]])</f>
        <v>Unknown</v>
      </c>
      <c r="O638" t="s">
        <v>17</v>
      </c>
      <c r="P638" t="str">
        <f>IF(Table1[[#This Row],[Unit price]]&gt;2000,"High Price","Standard Price")</f>
        <v>Standard Price</v>
      </c>
    </row>
    <row r="639" spans="1:16" x14ac:dyDescent="0.3">
      <c r="A639" s="3">
        <v>10638</v>
      </c>
      <c r="B639" s="1">
        <v>45833</v>
      </c>
      <c r="C639" s="3" t="s">
        <v>48</v>
      </c>
      <c r="D639" s="3" t="s">
        <v>7</v>
      </c>
      <c r="E639" t="s">
        <v>45</v>
      </c>
      <c r="G639" t="str">
        <f>IF(ISBLANK(Table1[[#This Row],[State]]),"Unknown",Table1[[#This Row],[State]])</f>
        <v>Unknown</v>
      </c>
      <c r="H639" t="s">
        <v>33</v>
      </c>
      <c r="I639" t="s">
        <v>21</v>
      </c>
      <c r="J639" t="str">
        <f>IF(ISBLANK(Table1[[#This Row],[Product]]),"Unknown",Table1[[#This Row],[Product]])</f>
        <v>Headphones</v>
      </c>
      <c r="K639" s="3">
        <v>1</v>
      </c>
      <c r="L639" s="10">
        <v>1299</v>
      </c>
      <c r="M639" t="s">
        <v>4</v>
      </c>
      <c r="N639" t="str">
        <f>IF(ISBLANK(Table1[[#This Row],[Payment method]]),"Unknown",Table1[[#This Row],[Payment method]])</f>
        <v>Net Banking</v>
      </c>
      <c r="O639" t="s">
        <v>58</v>
      </c>
      <c r="P639" t="str">
        <f>IF(Table1[[#This Row],[Unit price]]&gt;2000,"High Price","Standard Price")</f>
        <v>Standard Price</v>
      </c>
    </row>
    <row r="640" spans="1:16" x14ac:dyDescent="0.3">
      <c r="A640" s="3">
        <v>10639</v>
      </c>
      <c r="B640" s="1">
        <v>45757</v>
      </c>
      <c r="C640" s="3" t="s">
        <v>171</v>
      </c>
      <c r="D640" s="3" t="s">
        <v>7</v>
      </c>
      <c r="E640" t="s">
        <v>248</v>
      </c>
      <c r="F640" t="s">
        <v>52</v>
      </c>
      <c r="G640" t="str">
        <f>IF(ISBLANK(Table1[[#This Row],[State]]),"Unknown",Table1[[#This Row],[State]])</f>
        <v>Karnataka</v>
      </c>
      <c r="H640" t="s">
        <v>33</v>
      </c>
      <c r="I640" t="s">
        <v>21</v>
      </c>
      <c r="J640" t="str">
        <f>IF(ISBLANK(Table1[[#This Row],[Product]]),"Unknown",Table1[[#This Row],[Product]])</f>
        <v>Headphones</v>
      </c>
      <c r="K640" s="3">
        <v>3</v>
      </c>
      <c r="L640" s="10">
        <v>799</v>
      </c>
      <c r="M640" t="s">
        <v>26</v>
      </c>
      <c r="N640" t="str">
        <f>IF(ISBLANK(Table1[[#This Row],[Payment method]]),"Unknown",Table1[[#This Row],[Payment method]])</f>
        <v>Card</v>
      </c>
      <c r="O640" t="s">
        <v>58</v>
      </c>
      <c r="P640" t="str">
        <f>IF(Table1[[#This Row],[Unit price]]&gt;2000,"High Price","Standard Price")</f>
        <v>Standard Price</v>
      </c>
    </row>
    <row r="641" spans="1:16" x14ac:dyDescent="0.3">
      <c r="A641" s="3">
        <v>10640</v>
      </c>
      <c r="B641" s="1">
        <v>45661</v>
      </c>
      <c r="C641" s="3" t="s">
        <v>76</v>
      </c>
      <c r="D641" s="3" t="s">
        <v>43</v>
      </c>
      <c r="E641" t="s">
        <v>248</v>
      </c>
      <c r="F641" t="s">
        <v>52</v>
      </c>
      <c r="G641" t="str">
        <f>IF(ISBLANK(Table1[[#This Row],[State]]),"Unknown",Table1[[#This Row],[State]])</f>
        <v>Karnataka</v>
      </c>
      <c r="H641" t="s">
        <v>33</v>
      </c>
      <c r="I641" t="s">
        <v>21</v>
      </c>
      <c r="J641" t="str">
        <f>IF(ISBLANK(Table1[[#This Row],[Product]]),"Unknown",Table1[[#This Row],[Product]])</f>
        <v>Headphones</v>
      </c>
      <c r="K641" s="3">
        <v>4</v>
      </c>
      <c r="L641" s="10">
        <v>299</v>
      </c>
      <c r="M641" t="s">
        <v>4</v>
      </c>
      <c r="N641" t="str">
        <f>IF(ISBLANK(Table1[[#This Row],[Payment method]]),"Unknown",Table1[[#This Row],[Payment method]])</f>
        <v>Net Banking</v>
      </c>
      <c r="O641" t="s">
        <v>17</v>
      </c>
      <c r="P641" t="str">
        <f>IF(Table1[[#This Row],[Unit price]]&gt;2000,"High Price","Standard Price")</f>
        <v>Standard Price</v>
      </c>
    </row>
    <row r="642" spans="1:16" x14ac:dyDescent="0.3">
      <c r="A642" s="3">
        <v>10641</v>
      </c>
      <c r="B642" s="1">
        <v>45775</v>
      </c>
      <c r="C642" s="3" t="s">
        <v>103</v>
      </c>
      <c r="D642" s="3" t="s">
        <v>1</v>
      </c>
      <c r="E642" t="s">
        <v>20</v>
      </c>
      <c r="F642" t="s">
        <v>20</v>
      </c>
      <c r="G642" t="str">
        <f>IF(ISBLANK(Table1[[#This Row],[State]]),"Unknown",Table1[[#This Row],[State]])</f>
        <v>Delhi</v>
      </c>
      <c r="H642" t="s">
        <v>2</v>
      </c>
      <c r="I642" t="s">
        <v>24</v>
      </c>
      <c r="J642" t="str">
        <f>IF(ISBLANK(Table1[[#This Row],[Product]]),"Unknown",Table1[[#This Row],[Product]])</f>
        <v>Jeans</v>
      </c>
      <c r="K642" s="3">
        <v>3</v>
      </c>
      <c r="L642" s="10">
        <v>1299</v>
      </c>
      <c r="M642" t="s">
        <v>11</v>
      </c>
      <c r="N642" t="str">
        <f>IF(ISBLANK(Table1[[#This Row],[Payment method]]),"Unknown",Table1[[#This Row],[Payment method]])</f>
        <v>Cash on Delivery</v>
      </c>
      <c r="O642" t="s">
        <v>12</v>
      </c>
      <c r="P642" t="str">
        <f>IF(Table1[[#This Row],[Unit price]]&gt;2000,"High Price","Standard Price")</f>
        <v>Standard Price</v>
      </c>
    </row>
    <row r="643" spans="1:16" x14ac:dyDescent="0.3">
      <c r="A643" s="3">
        <v>10642</v>
      </c>
      <c r="B643" s="1">
        <v>45677</v>
      </c>
      <c r="C643" s="3" t="s">
        <v>187</v>
      </c>
      <c r="D643" s="3" t="s">
        <v>1</v>
      </c>
      <c r="E643" t="s">
        <v>8</v>
      </c>
      <c r="F643" t="s">
        <v>52</v>
      </c>
      <c r="G643" t="str">
        <f>IF(ISBLANK(Table1[[#This Row],[State]]),"Unknown",Table1[[#This Row],[State]])</f>
        <v>Karnataka</v>
      </c>
      <c r="H643" t="s">
        <v>9</v>
      </c>
      <c r="I643" t="s">
        <v>16</v>
      </c>
      <c r="J643" t="str">
        <f>IF(ISBLANK(Table1[[#This Row],[Product]]),"Unknown",Table1[[#This Row],[Product]])</f>
        <v>Lamp</v>
      </c>
      <c r="K643" s="3">
        <v>2</v>
      </c>
      <c r="L643" s="10">
        <v>1999</v>
      </c>
      <c r="M643" t="s">
        <v>26</v>
      </c>
      <c r="N643" t="str">
        <f>IF(ISBLANK(Table1[[#This Row],[Payment method]]),"Unknown",Table1[[#This Row],[Payment method]])</f>
        <v>Card</v>
      </c>
      <c r="O643" t="s">
        <v>5</v>
      </c>
      <c r="P643" t="str">
        <f>IF(Table1[[#This Row],[Unit price]]&gt;2000,"High Price","Standard Price")</f>
        <v>Standard Price</v>
      </c>
    </row>
    <row r="644" spans="1:16" x14ac:dyDescent="0.3">
      <c r="A644" s="3">
        <v>10643</v>
      </c>
      <c r="B644" s="1">
        <v>45668</v>
      </c>
      <c r="C644" s="3" t="s">
        <v>103</v>
      </c>
      <c r="D644" s="3" t="s">
        <v>23</v>
      </c>
      <c r="E644" t="s">
        <v>248</v>
      </c>
      <c r="F644" t="s">
        <v>52</v>
      </c>
      <c r="G644" t="str">
        <f>IF(ISBLANK(Table1[[#This Row],[State]]),"Unknown",Table1[[#This Row],[State]])</f>
        <v>Karnataka</v>
      </c>
      <c r="H644" t="s">
        <v>9</v>
      </c>
      <c r="I644" t="s">
        <v>10</v>
      </c>
      <c r="J644" t="str">
        <f>IF(ISBLANK(Table1[[#This Row],[Product]]),"Unknown",Table1[[#This Row],[Product]])</f>
        <v>Chair</v>
      </c>
      <c r="K644" s="3">
        <v>5</v>
      </c>
      <c r="L644" s="10">
        <v>1999</v>
      </c>
      <c r="M644" t="s">
        <v>11</v>
      </c>
      <c r="N644" t="str">
        <f>IF(ISBLANK(Table1[[#This Row],[Payment method]]),"Unknown",Table1[[#This Row],[Payment method]])</f>
        <v>Cash on Delivery</v>
      </c>
      <c r="O644" t="s">
        <v>17</v>
      </c>
      <c r="P644" t="str">
        <f>IF(Table1[[#This Row],[Unit price]]&gt;2000,"High Price","Standard Price")</f>
        <v>Standard Price</v>
      </c>
    </row>
    <row r="645" spans="1:16" x14ac:dyDescent="0.3">
      <c r="A645" s="3">
        <v>10644</v>
      </c>
      <c r="B645" s="1">
        <v>45774</v>
      </c>
      <c r="C645" s="3" t="s">
        <v>68</v>
      </c>
      <c r="D645" s="3" t="s">
        <v>57</v>
      </c>
      <c r="E645" t="s">
        <v>45</v>
      </c>
      <c r="F645" t="s">
        <v>54</v>
      </c>
      <c r="G645" t="str">
        <f>IF(ISBLANK(Table1[[#This Row],[State]]),"Unknown",Table1[[#This Row],[State]])</f>
        <v>Uttar Pradesh</v>
      </c>
      <c r="H645" t="s">
        <v>2</v>
      </c>
      <c r="I645" t="s">
        <v>3</v>
      </c>
      <c r="J645" t="str">
        <f>IF(ISBLANK(Table1[[#This Row],[Product]]),"Unknown",Table1[[#This Row],[Product]])</f>
        <v>T-Shirt</v>
      </c>
      <c r="K645" s="3">
        <v>3</v>
      </c>
      <c r="L645" s="10">
        <v>1999</v>
      </c>
      <c r="N645" t="str">
        <f>IF(ISBLANK(Table1[[#This Row],[Payment method]]),"Unknown",Table1[[#This Row],[Payment method]])</f>
        <v>Unknown</v>
      </c>
      <c r="O645" t="s">
        <v>12</v>
      </c>
      <c r="P645" t="str">
        <f>IF(Table1[[#This Row],[Unit price]]&gt;2000,"High Price","Standard Price")</f>
        <v>Standard Price</v>
      </c>
    </row>
    <row r="646" spans="1:16" x14ac:dyDescent="0.3">
      <c r="A646" s="3">
        <v>10645</v>
      </c>
      <c r="B646" s="1">
        <v>45727</v>
      </c>
      <c r="C646" s="3" t="s">
        <v>25</v>
      </c>
      <c r="D646" s="3" t="s">
        <v>23</v>
      </c>
      <c r="E646" t="s">
        <v>32</v>
      </c>
      <c r="F646" t="s">
        <v>15</v>
      </c>
      <c r="G646" t="str">
        <f>IF(ISBLANK(Table1[[#This Row],[State]]),"Unknown",Table1[[#This Row],[State]])</f>
        <v>Maharashtra</v>
      </c>
      <c r="H646" t="s">
        <v>9</v>
      </c>
      <c r="I646" t="s">
        <v>10</v>
      </c>
      <c r="J646" t="str">
        <f>IF(ISBLANK(Table1[[#This Row],[Product]]),"Unknown",Table1[[#This Row],[Product]])</f>
        <v>Chair</v>
      </c>
      <c r="K646" s="3">
        <v>5</v>
      </c>
      <c r="L646" s="10">
        <v>799</v>
      </c>
      <c r="M646" t="s">
        <v>11</v>
      </c>
      <c r="N646" t="str">
        <f>IF(ISBLANK(Table1[[#This Row],[Payment method]]),"Unknown",Table1[[#This Row],[Payment method]])</f>
        <v>Cash on Delivery</v>
      </c>
      <c r="O646" t="s">
        <v>17</v>
      </c>
      <c r="P646" t="str">
        <f>IF(Table1[[#This Row],[Unit price]]&gt;2000,"High Price","Standard Price")</f>
        <v>Standard Price</v>
      </c>
    </row>
    <row r="647" spans="1:16" x14ac:dyDescent="0.3">
      <c r="A647" s="3">
        <v>10646</v>
      </c>
      <c r="B647" s="1">
        <v>45906</v>
      </c>
      <c r="C647" s="3" t="s">
        <v>216</v>
      </c>
      <c r="D647" s="3" t="s">
        <v>39</v>
      </c>
      <c r="E647" t="s">
        <v>247</v>
      </c>
      <c r="F647" t="s">
        <v>36</v>
      </c>
      <c r="G647" t="str">
        <f>IF(ISBLANK(Table1[[#This Row],[State]]),"Unknown",Table1[[#This Row],[State]])</f>
        <v>Maharastra</v>
      </c>
      <c r="H647" t="s">
        <v>2</v>
      </c>
      <c r="I647" t="s">
        <v>3</v>
      </c>
      <c r="J647" t="str">
        <f>IF(ISBLANK(Table1[[#This Row],[Product]]),"Unknown",Table1[[#This Row],[Product]])</f>
        <v>T-Shirt</v>
      </c>
      <c r="K647" s="3">
        <v>1</v>
      </c>
      <c r="L647" s="10">
        <v>799</v>
      </c>
      <c r="N647" t="str">
        <f>IF(ISBLANK(Table1[[#This Row],[Payment method]]),"Unknown",Table1[[#This Row],[Payment method]])</f>
        <v>Unknown</v>
      </c>
      <c r="O647" t="s">
        <v>58</v>
      </c>
      <c r="P647" t="str">
        <f>IF(Table1[[#This Row],[Unit price]]&gt;2000,"High Price","Standard Price")</f>
        <v>Standard Price</v>
      </c>
    </row>
    <row r="648" spans="1:16" x14ac:dyDescent="0.3">
      <c r="A648" s="3">
        <v>10647</v>
      </c>
      <c r="B648" s="1">
        <v>45746</v>
      </c>
      <c r="C648" s="3" t="s">
        <v>168</v>
      </c>
      <c r="D648" s="3" t="s">
        <v>7</v>
      </c>
      <c r="E648" t="s">
        <v>35</v>
      </c>
      <c r="F648" t="s">
        <v>36</v>
      </c>
      <c r="G648" t="str">
        <f>IF(ISBLANK(Table1[[#This Row],[State]]),"Unknown",Table1[[#This Row],[State]])</f>
        <v>Maharastra</v>
      </c>
      <c r="H648" t="s">
        <v>2</v>
      </c>
      <c r="I648" t="s">
        <v>3</v>
      </c>
      <c r="J648" t="str">
        <f>IF(ISBLANK(Table1[[#This Row],[Product]]),"Unknown",Table1[[#This Row],[Product]])</f>
        <v>T-Shirt</v>
      </c>
      <c r="K648" s="3">
        <v>5</v>
      </c>
      <c r="L648" s="10">
        <v>799</v>
      </c>
      <c r="N648" t="str">
        <f>IF(ISBLANK(Table1[[#This Row],[Payment method]]),"Unknown",Table1[[#This Row],[Payment method]])</f>
        <v>Unknown</v>
      </c>
      <c r="O648" t="s">
        <v>17</v>
      </c>
      <c r="P648" t="str">
        <f>IF(Table1[[#This Row],[Unit price]]&gt;2000,"High Price","Standard Price")</f>
        <v>Standard Price</v>
      </c>
    </row>
    <row r="649" spans="1:16" x14ac:dyDescent="0.3">
      <c r="A649" s="3">
        <v>10648</v>
      </c>
      <c r="B649" s="1">
        <v>45830</v>
      </c>
      <c r="C649" s="3" t="s">
        <v>103</v>
      </c>
      <c r="D649" s="3" t="s">
        <v>43</v>
      </c>
      <c r="E649" t="s">
        <v>35</v>
      </c>
      <c r="F649" t="s">
        <v>15</v>
      </c>
      <c r="G649" t="str">
        <f>IF(ISBLANK(Table1[[#This Row],[State]]),"Unknown",Table1[[#This Row],[State]])</f>
        <v>Maharashtra</v>
      </c>
      <c r="H649" t="s">
        <v>9</v>
      </c>
      <c r="I649" t="s">
        <v>10</v>
      </c>
      <c r="J649" t="str">
        <f>IF(ISBLANK(Table1[[#This Row],[Product]]),"Unknown",Table1[[#This Row],[Product]])</f>
        <v>Chair</v>
      </c>
      <c r="K649" s="3">
        <v>2</v>
      </c>
      <c r="L649" s="10">
        <v>499</v>
      </c>
      <c r="M649" t="s">
        <v>4</v>
      </c>
      <c r="N649" t="str">
        <f>IF(ISBLANK(Table1[[#This Row],[Payment method]]),"Unknown",Table1[[#This Row],[Payment method]])</f>
        <v>Net Banking</v>
      </c>
      <c r="O649" t="s">
        <v>17</v>
      </c>
      <c r="P649" t="str">
        <f>IF(Table1[[#This Row],[Unit price]]&gt;2000,"High Price","Standard Price")</f>
        <v>Standard Price</v>
      </c>
    </row>
    <row r="650" spans="1:16" x14ac:dyDescent="0.3">
      <c r="A650" s="3">
        <v>10649</v>
      </c>
      <c r="B650" s="1">
        <v>45826</v>
      </c>
      <c r="C650" s="3" t="s">
        <v>187</v>
      </c>
      <c r="D650" s="3" t="s">
        <v>7</v>
      </c>
      <c r="E650" t="s">
        <v>45</v>
      </c>
      <c r="F650" t="s">
        <v>54</v>
      </c>
      <c r="G650" t="str">
        <f>IF(ISBLANK(Table1[[#This Row],[State]]),"Unknown",Table1[[#This Row],[State]])</f>
        <v>Uttar Pradesh</v>
      </c>
      <c r="H650" t="s">
        <v>9</v>
      </c>
      <c r="I650" t="s">
        <v>16</v>
      </c>
      <c r="J650" t="str">
        <f>IF(ISBLANK(Table1[[#This Row],[Product]]),"Unknown",Table1[[#This Row],[Product]])</f>
        <v>Lamp</v>
      </c>
      <c r="K650" s="3">
        <v>4</v>
      </c>
      <c r="L650" s="10">
        <v>299</v>
      </c>
      <c r="N650" t="str">
        <f>IF(ISBLANK(Table1[[#This Row],[Payment method]]),"Unknown",Table1[[#This Row],[Payment method]])</f>
        <v>Unknown</v>
      </c>
      <c r="O650" t="s">
        <v>5</v>
      </c>
      <c r="P650" t="str">
        <f>IF(Table1[[#This Row],[Unit price]]&gt;2000,"High Price","Standard Price")</f>
        <v>Standard Price</v>
      </c>
    </row>
    <row r="651" spans="1:16" x14ac:dyDescent="0.3">
      <c r="A651" s="3">
        <v>10650</v>
      </c>
      <c r="B651" s="1">
        <v>45842</v>
      </c>
      <c r="C651" s="3" t="s">
        <v>106</v>
      </c>
      <c r="D651" s="3" t="s">
        <v>43</v>
      </c>
      <c r="E651" t="s">
        <v>35</v>
      </c>
      <c r="F651" t="s">
        <v>15</v>
      </c>
      <c r="G651" t="str">
        <f>IF(ISBLANK(Table1[[#This Row],[State]]),"Unknown",Table1[[#This Row],[State]])</f>
        <v>Maharashtra</v>
      </c>
      <c r="H651" t="s">
        <v>2</v>
      </c>
      <c r="I651" t="s">
        <v>3</v>
      </c>
      <c r="J651" t="str">
        <f>IF(ISBLANK(Table1[[#This Row],[Product]]),"Unknown",Table1[[#This Row],[Product]])</f>
        <v>T-Shirt</v>
      </c>
      <c r="K651" s="3">
        <v>4</v>
      </c>
      <c r="L651" s="10">
        <v>799</v>
      </c>
      <c r="N651" t="str">
        <f>IF(ISBLANK(Table1[[#This Row],[Payment method]]),"Unknown",Table1[[#This Row],[Payment method]])</f>
        <v>Unknown</v>
      </c>
      <c r="O651" t="s">
        <v>5</v>
      </c>
      <c r="P651" t="str">
        <f>IF(Table1[[#This Row],[Unit price]]&gt;2000,"High Price","Standard Price")</f>
        <v>Standard Price</v>
      </c>
    </row>
    <row r="652" spans="1:16" x14ac:dyDescent="0.3">
      <c r="A652" s="3">
        <v>10651</v>
      </c>
      <c r="B652" s="1">
        <v>45713</v>
      </c>
      <c r="C652" s="3" t="s">
        <v>94</v>
      </c>
      <c r="D652" s="3" t="s">
        <v>14</v>
      </c>
      <c r="E652" t="s">
        <v>249</v>
      </c>
      <c r="F652" t="s">
        <v>15</v>
      </c>
      <c r="G652" t="str">
        <f>IF(ISBLANK(Table1[[#This Row],[State]]),"Unknown",Table1[[#This Row],[State]])</f>
        <v>Maharashtra</v>
      </c>
      <c r="H652" t="s">
        <v>2</v>
      </c>
      <c r="I652" t="s">
        <v>3</v>
      </c>
      <c r="J652" t="str">
        <f>IF(ISBLANK(Table1[[#This Row],[Product]]),"Unknown",Table1[[#This Row],[Product]])</f>
        <v>T-Shirt</v>
      </c>
      <c r="K652" s="3">
        <v>1</v>
      </c>
      <c r="L652" s="10">
        <v>799</v>
      </c>
      <c r="M652" t="s">
        <v>11</v>
      </c>
      <c r="N652" t="str">
        <f>IF(ISBLANK(Table1[[#This Row],[Payment method]]),"Unknown",Table1[[#This Row],[Payment method]])</f>
        <v>Cash on Delivery</v>
      </c>
      <c r="O652" t="s">
        <v>17</v>
      </c>
      <c r="P652" t="str">
        <f>IF(Table1[[#This Row],[Unit price]]&gt;2000,"High Price","Standard Price")</f>
        <v>Standard Price</v>
      </c>
    </row>
    <row r="653" spans="1:16" x14ac:dyDescent="0.3">
      <c r="A653" s="3">
        <v>10652</v>
      </c>
      <c r="B653" s="1">
        <v>45794</v>
      </c>
      <c r="C653" s="3" t="s">
        <v>232</v>
      </c>
      <c r="D653" s="3" t="s">
        <v>19</v>
      </c>
      <c r="E653" t="s">
        <v>45</v>
      </c>
      <c r="F653" t="s">
        <v>54</v>
      </c>
      <c r="G653" t="str">
        <f>IF(ISBLANK(Table1[[#This Row],[State]]),"Unknown",Table1[[#This Row],[State]])</f>
        <v>Uttar Pradesh</v>
      </c>
      <c r="H653" t="s">
        <v>33</v>
      </c>
      <c r="I653" t="s">
        <v>37</v>
      </c>
      <c r="J653" t="str">
        <f>IF(ISBLANK(Table1[[#This Row],[Product]]),"Unknown",Table1[[#This Row],[Product]])</f>
        <v>Mouse</v>
      </c>
      <c r="K653" s="3">
        <v>4</v>
      </c>
      <c r="L653" s="10">
        <v>299</v>
      </c>
      <c r="N653" t="str">
        <f>IF(ISBLANK(Table1[[#This Row],[Payment method]]),"Unknown",Table1[[#This Row],[Payment method]])</f>
        <v>Unknown</v>
      </c>
      <c r="O653" t="s">
        <v>17</v>
      </c>
      <c r="P653" t="str">
        <f>IF(Table1[[#This Row],[Unit price]]&gt;2000,"High Price","Standard Price")</f>
        <v>Standard Price</v>
      </c>
    </row>
    <row r="654" spans="1:16" x14ac:dyDescent="0.3">
      <c r="A654" s="3">
        <v>10653</v>
      </c>
      <c r="B654" s="1">
        <v>45806</v>
      </c>
      <c r="C654" s="3" t="s">
        <v>92</v>
      </c>
      <c r="D654" s="3" t="s">
        <v>19</v>
      </c>
      <c r="E654" t="s">
        <v>248</v>
      </c>
      <c r="F654" t="s">
        <v>52</v>
      </c>
      <c r="G654" t="str">
        <f>IF(ISBLANK(Table1[[#This Row],[State]]),"Unknown",Table1[[#This Row],[State]])</f>
        <v>Karnataka</v>
      </c>
      <c r="H654" t="s">
        <v>2</v>
      </c>
      <c r="I654" t="s">
        <v>24</v>
      </c>
      <c r="J654" t="str">
        <f>IF(ISBLANK(Table1[[#This Row],[Product]]),"Unknown",Table1[[#This Row],[Product]])</f>
        <v>Jeans</v>
      </c>
      <c r="K654" s="3">
        <v>3</v>
      </c>
      <c r="L654" s="10">
        <v>299</v>
      </c>
      <c r="M654" t="s">
        <v>26</v>
      </c>
      <c r="N654" t="str">
        <f>IF(ISBLANK(Table1[[#This Row],[Payment method]]),"Unknown",Table1[[#This Row],[Payment method]])</f>
        <v>Card</v>
      </c>
      <c r="O654" t="s">
        <v>12</v>
      </c>
      <c r="P654" t="str">
        <f>IF(Table1[[#This Row],[Unit price]]&gt;2000,"High Price","Standard Price")</f>
        <v>Standard Price</v>
      </c>
    </row>
    <row r="655" spans="1:16" x14ac:dyDescent="0.3">
      <c r="A655" s="3">
        <v>10654</v>
      </c>
      <c r="B655" s="1">
        <v>45700</v>
      </c>
      <c r="C655" s="3" t="s">
        <v>25</v>
      </c>
      <c r="D655" s="3" t="s">
        <v>1</v>
      </c>
      <c r="E655" t="s">
        <v>249</v>
      </c>
      <c r="F655" t="s">
        <v>15</v>
      </c>
      <c r="G655" t="str">
        <f>IF(ISBLANK(Table1[[#This Row],[State]]),"Unknown",Table1[[#This Row],[State]])</f>
        <v>Maharashtra</v>
      </c>
      <c r="H655" t="s">
        <v>33</v>
      </c>
      <c r="I655" t="s">
        <v>21</v>
      </c>
      <c r="J655" t="str">
        <f>IF(ISBLANK(Table1[[#This Row],[Product]]),"Unknown",Table1[[#This Row],[Product]])</f>
        <v>Headphones</v>
      </c>
      <c r="K655" s="3">
        <v>2</v>
      </c>
      <c r="L655" s="10">
        <v>799</v>
      </c>
      <c r="N655" t="str">
        <f>IF(ISBLANK(Table1[[#This Row],[Payment method]]),"Unknown",Table1[[#This Row],[Payment method]])</f>
        <v>Unknown</v>
      </c>
      <c r="O655" t="s">
        <v>58</v>
      </c>
      <c r="P655" t="str">
        <f>IF(Table1[[#This Row],[Unit price]]&gt;2000,"High Price","Standard Price")</f>
        <v>Standard Price</v>
      </c>
    </row>
    <row r="656" spans="1:16" x14ac:dyDescent="0.3">
      <c r="A656" s="3">
        <v>10655</v>
      </c>
      <c r="B656" s="1">
        <v>45719</v>
      </c>
      <c r="C656" s="3" t="s">
        <v>0</v>
      </c>
      <c r="D656" s="3" t="s">
        <v>57</v>
      </c>
      <c r="E656" t="s">
        <v>35</v>
      </c>
      <c r="F656" t="s">
        <v>36</v>
      </c>
      <c r="G656" t="str">
        <f>IF(ISBLANK(Table1[[#This Row],[State]]),"Unknown",Table1[[#This Row],[State]])</f>
        <v>Maharastra</v>
      </c>
      <c r="H656" t="s">
        <v>33</v>
      </c>
      <c r="I656" t="s">
        <v>49</v>
      </c>
      <c r="J656" t="str">
        <f>IF(ISBLANK(Table1[[#This Row],[Product]]),"Unknown",Table1[[#This Row],[Product]])</f>
        <v>Keyboard</v>
      </c>
      <c r="K656" s="3">
        <v>1</v>
      </c>
      <c r="L656" s="10">
        <v>1299</v>
      </c>
      <c r="N656" t="str">
        <f>IF(ISBLANK(Table1[[#This Row],[Payment method]]),"Unknown",Table1[[#This Row],[Payment method]])</f>
        <v>Unknown</v>
      </c>
      <c r="O656" t="s">
        <v>12</v>
      </c>
      <c r="P656" t="str">
        <f>IF(Table1[[#This Row],[Unit price]]&gt;2000,"High Price","Standard Price")</f>
        <v>Standard Price</v>
      </c>
    </row>
    <row r="657" spans="1:16" x14ac:dyDescent="0.3">
      <c r="A657" s="3">
        <v>10656</v>
      </c>
      <c r="B657" s="1">
        <v>45693</v>
      </c>
      <c r="C657" s="3" t="s">
        <v>200</v>
      </c>
      <c r="D657" s="3" t="s">
        <v>43</v>
      </c>
      <c r="E657" t="s">
        <v>8</v>
      </c>
      <c r="F657" t="s">
        <v>52</v>
      </c>
      <c r="G657" t="str">
        <f>IF(ISBLANK(Table1[[#This Row],[State]]),"Unknown",Table1[[#This Row],[State]])</f>
        <v>Karnataka</v>
      </c>
      <c r="H657" t="s">
        <v>9</v>
      </c>
      <c r="I657" t="s">
        <v>10</v>
      </c>
      <c r="J657" t="str">
        <f>IF(ISBLANK(Table1[[#This Row],[Product]]),"Unknown",Table1[[#This Row],[Product]])</f>
        <v>Chair</v>
      </c>
      <c r="K657" s="3">
        <v>4</v>
      </c>
      <c r="L657" s="10">
        <v>299</v>
      </c>
      <c r="M657" t="s">
        <v>11</v>
      </c>
      <c r="N657" t="str">
        <f>IF(ISBLANK(Table1[[#This Row],[Payment method]]),"Unknown",Table1[[#This Row],[Payment method]])</f>
        <v>Cash on Delivery</v>
      </c>
      <c r="O657" t="s">
        <v>17</v>
      </c>
      <c r="P657" t="str">
        <f>IF(Table1[[#This Row],[Unit price]]&gt;2000,"High Price","Standard Price")</f>
        <v>Standard Price</v>
      </c>
    </row>
    <row r="658" spans="1:16" x14ac:dyDescent="0.3">
      <c r="A658" s="3">
        <v>10657</v>
      </c>
      <c r="B658" s="1">
        <v>45762</v>
      </c>
      <c r="C658" s="3" t="s">
        <v>110</v>
      </c>
      <c r="D658" s="3" t="s">
        <v>7</v>
      </c>
      <c r="E658" t="s">
        <v>247</v>
      </c>
      <c r="F658" t="s">
        <v>15</v>
      </c>
      <c r="G658" t="str">
        <f>IF(ISBLANK(Table1[[#This Row],[State]]),"Unknown",Table1[[#This Row],[State]])</f>
        <v>Maharashtra</v>
      </c>
      <c r="H658" t="s">
        <v>33</v>
      </c>
      <c r="I658" t="s">
        <v>49</v>
      </c>
      <c r="J658" t="str">
        <f>IF(ISBLANK(Table1[[#This Row],[Product]]),"Unknown",Table1[[#This Row],[Product]])</f>
        <v>Keyboard</v>
      </c>
      <c r="K658" s="3">
        <v>3</v>
      </c>
      <c r="L658" s="10">
        <v>1999</v>
      </c>
      <c r="M658" t="s">
        <v>4</v>
      </c>
      <c r="N658" t="str">
        <f>IF(ISBLANK(Table1[[#This Row],[Payment method]]),"Unknown",Table1[[#This Row],[Payment method]])</f>
        <v>Net Banking</v>
      </c>
      <c r="O658" t="s">
        <v>17</v>
      </c>
      <c r="P658" t="str">
        <f>IF(Table1[[#This Row],[Unit price]]&gt;2000,"High Price","Standard Price")</f>
        <v>Standard Price</v>
      </c>
    </row>
    <row r="659" spans="1:16" x14ac:dyDescent="0.3">
      <c r="A659" s="3">
        <v>10658</v>
      </c>
      <c r="B659" s="1">
        <v>45805</v>
      </c>
      <c r="C659" s="3" t="s">
        <v>233</v>
      </c>
      <c r="D659" s="3" t="s">
        <v>57</v>
      </c>
      <c r="E659" t="s">
        <v>32</v>
      </c>
      <c r="F659" t="s">
        <v>36</v>
      </c>
      <c r="G659" t="str">
        <f>IF(ISBLANK(Table1[[#This Row],[State]]),"Unknown",Table1[[#This Row],[State]])</f>
        <v>Maharastra</v>
      </c>
      <c r="H659" t="s">
        <v>2</v>
      </c>
      <c r="I659" t="s">
        <v>24</v>
      </c>
      <c r="J659" t="str">
        <f>IF(ISBLANK(Table1[[#This Row],[Product]]),"Unknown",Table1[[#This Row],[Product]])</f>
        <v>Jeans</v>
      </c>
      <c r="K659" s="3">
        <v>3</v>
      </c>
      <c r="L659" s="10">
        <v>499</v>
      </c>
      <c r="M659" t="s">
        <v>26</v>
      </c>
      <c r="N659" t="str">
        <f>IF(ISBLANK(Table1[[#This Row],[Payment method]]),"Unknown",Table1[[#This Row],[Payment method]])</f>
        <v>Card</v>
      </c>
      <c r="O659" t="s">
        <v>58</v>
      </c>
      <c r="P659" t="str">
        <f>IF(Table1[[#This Row],[Unit price]]&gt;2000,"High Price","Standard Price")</f>
        <v>Standard Price</v>
      </c>
    </row>
    <row r="660" spans="1:16" x14ac:dyDescent="0.3">
      <c r="A660" s="3">
        <v>10659</v>
      </c>
      <c r="B660" s="1">
        <v>45738</v>
      </c>
      <c r="C660" s="3" t="s">
        <v>145</v>
      </c>
      <c r="D660" s="3" t="s">
        <v>1</v>
      </c>
      <c r="E660" t="s">
        <v>248</v>
      </c>
      <c r="F660" t="s">
        <v>52</v>
      </c>
      <c r="G660" t="str">
        <f>IF(ISBLANK(Table1[[#This Row],[State]]),"Unknown",Table1[[#This Row],[State]])</f>
        <v>Karnataka</v>
      </c>
      <c r="H660" t="s">
        <v>2</v>
      </c>
      <c r="I660" t="s">
        <v>3</v>
      </c>
      <c r="J660" t="str">
        <f>IF(ISBLANK(Table1[[#This Row],[Product]]),"Unknown",Table1[[#This Row],[Product]])</f>
        <v>T-Shirt</v>
      </c>
      <c r="K660" s="3">
        <v>2</v>
      </c>
      <c r="L660" s="10">
        <v>1299</v>
      </c>
      <c r="N660" t="str">
        <f>IF(ISBLANK(Table1[[#This Row],[Payment method]]),"Unknown",Table1[[#This Row],[Payment method]])</f>
        <v>Unknown</v>
      </c>
      <c r="O660" t="s">
        <v>12</v>
      </c>
      <c r="P660" t="str">
        <f>IF(Table1[[#This Row],[Unit price]]&gt;2000,"High Price","Standard Price")</f>
        <v>Standard Price</v>
      </c>
    </row>
    <row r="661" spans="1:16" x14ac:dyDescent="0.3">
      <c r="A661" s="3">
        <v>10660</v>
      </c>
      <c r="B661" s="1">
        <v>45761</v>
      </c>
      <c r="C661" s="3" t="s">
        <v>200</v>
      </c>
      <c r="D661" s="3" t="s">
        <v>19</v>
      </c>
      <c r="E661" t="s">
        <v>20</v>
      </c>
      <c r="F661" t="s">
        <v>20</v>
      </c>
      <c r="G661" t="str">
        <f>IF(ISBLANK(Table1[[#This Row],[State]]),"Unknown",Table1[[#This Row],[State]])</f>
        <v>Delhi</v>
      </c>
      <c r="H661" t="s">
        <v>2</v>
      </c>
      <c r="I661" t="s">
        <v>3</v>
      </c>
      <c r="J661" t="str">
        <f>IF(ISBLANK(Table1[[#This Row],[Product]]),"Unknown",Table1[[#This Row],[Product]])</f>
        <v>T-Shirt</v>
      </c>
      <c r="K661" s="3">
        <v>2</v>
      </c>
      <c r="L661" s="10">
        <v>499</v>
      </c>
      <c r="N661" t="str">
        <f>IF(ISBLANK(Table1[[#This Row],[Payment method]]),"Unknown",Table1[[#This Row],[Payment method]])</f>
        <v>Unknown</v>
      </c>
      <c r="O661" t="s">
        <v>5</v>
      </c>
      <c r="P661" t="str">
        <f>IF(Table1[[#This Row],[Unit price]]&gt;2000,"High Price","Standard Price")</f>
        <v>Standard Price</v>
      </c>
    </row>
    <row r="662" spans="1:16" x14ac:dyDescent="0.3">
      <c r="A662" s="3">
        <v>10661</v>
      </c>
      <c r="B662" s="1">
        <v>45704</v>
      </c>
      <c r="C662" s="3" t="s">
        <v>120</v>
      </c>
      <c r="D662" s="3" t="s">
        <v>57</v>
      </c>
      <c r="E662" t="s">
        <v>35</v>
      </c>
      <c r="F662" t="s">
        <v>36</v>
      </c>
      <c r="G662" t="str">
        <f>IF(ISBLANK(Table1[[#This Row],[State]]),"Unknown",Table1[[#This Row],[State]])</f>
        <v>Maharastra</v>
      </c>
      <c r="H662" t="s">
        <v>9</v>
      </c>
      <c r="I662" t="s">
        <v>10</v>
      </c>
      <c r="J662" t="str">
        <f>IF(ISBLANK(Table1[[#This Row],[Product]]),"Unknown",Table1[[#This Row],[Product]])</f>
        <v>Chair</v>
      </c>
      <c r="K662" s="3">
        <v>5</v>
      </c>
      <c r="L662" s="10">
        <v>799</v>
      </c>
      <c r="N662" t="str">
        <f>IF(ISBLANK(Table1[[#This Row],[Payment method]]),"Unknown",Table1[[#This Row],[Payment method]])</f>
        <v>Unknown</v>
      </c>
      <c r="O662" t="s">
        <v>58</v>
      </c>
      <c r="P662" t="str">
        <f>IF(Table1[[#This Row],[Unit price]]&gt;2000,"High Price","Standard Price")</f>
        <v>Standard Price</v>
      </c>
    </row>
    <row r="663" spans="1:16" x14ac:dyDescent="0.3">
      <c r="A663" s="3">
        <v>10662</v>
      </c>
      <c r="B663" s="1">
        <v>45784</v>
      </c>
      <c r="C663" s="3" t="s">
        <v>196</v>
      </c>
      <c r="D663" s="3" t="s">
        <v>7</v>
      </c>
      <c r="E663" t="s">
        <v>35</v>
      </c>
      <c r="F663" t="s">
        <v>36</v>
      </c>
      <c r="G663" t="str">
        <f>IF(ISBLANK(Table1[[#This Row],[State]]),"Unknown",Table1[[#This Row],[State]])</f>
        <v>Maharastra</v>
      </c>
      <c r="H663" t="s">
        <v>2</v>
      </c>
      <c r="I663" t="s">
        <v>3</v>
      </c>
      <c r="J663" t="str">
        <f>IF(ISBLANK(Table1[[#This Row],[Product]]),"Unknown",Table1[[#This Row],[Product]])</f>
        <v>T-Shirt</v>
      </c>
      <c r="K663" s="3">
        <v>1</v>
      </c>
      <c r="L663" s="10">
        <v>1299</v>
      </c>
      <c r="N663" t="str">
        <f>IF(ISBLANK(Table1[[#This Row],[Payment method]]),"Unknown",Table1[[#This Row],[Payment method]])</f>
        <v>Unknown</v>
      </c>
      <c r="O663" t="s">
        <v>5</v>
      </c>
      <c r="P663" t="str">
        <f>IF(Table1[[#This Row],[Unit price]]&gt;2000,"High Price","Standard Price")</f>
        <v>Standard Price</v>
      </c>
    </row>
    <row r="664" spans="1:16" x14ac:dyDescent="0.3">
      <c r="A664" s="3">
        <v>10663</v>
      </c>
      <c r="B664" s="1">
        <v>45784</v>
      </c>
      <c r="C664" s="3" t="s">
        <v>200</v>
      </c>
      <c r="D664" s="3" t="s">
        <v>1</v>
      </c>
      <c r="E664" t="s">
        <v>8</v>
      </c>
      <c r="F664" t="s">
        <v>52</v>
      </c>
      <c r="G664" t="str">
        <f>IF(ISBLANK(Table1[[#This Row],[State]]),"Unknown",Table1[[#This Row],[State]])</f>
        <v>Karnataka</v>
      </c>
      <c r="H664" t="s">
        <v>2</v>
      </c>
      <c r="I664" t="s">
        <v>3</v>
      </c>
      <c r="J664" t="str">
        <f>IF(ISBLANK(Table1[[#This Row],[Product]]),"Unknown",Table1[[#This Row],[Product]])</f>
        <v>T-Shirt</v>
      </c>
      <c r="K664" s="3">
        <v>1</v>
      </c>
      <c r="L664" s="10">
        <v>299</v>
      </c>
      <c r="M664" t="s">
        <v>4</v>
      </c>
      <c r="N664" t="str">
        <f>IF(ISBLANK(Table1[[#This Row],[Payment method]]),"Unknown",Table1[[#This Row],[Payment method]])</f>
        <v>Net Banking</v>
      </c>
      <c r="O664" t="s">
        <v>5</v>
      </c>
      <c r="P664" t="str">
        <f>IF(Table1[[#This Row],[Unit price]]&gt;2000,"High Price","Standard Price")</f>
        <v>Standard Price</v>
      </c>
    </row>
    <row r="665" spans="1:16" x14ac:dyDescent="0.3">
      <c r="A665" s="3">
        <v>10664</v>
      </c>
      <c r="B665" s="1">
        <v>45780</v>
      </c>
      <c r="C665" s="3" t="s">
        <v>234</v>
      </c>
      <c r="D665" s="3" t="s">
        <v>23</v>
      </c>
      <c r="E665" t="s">
        <v>45</v>
      </c>
      <c r="F665" t="s">
        <v>54</v>
      </c>
      <c r="G665" t="str">
        <f>IF(ISBLANK(Table1[[#This Row],[State]]),"Unknown",Table1[[#This Row],[State]])</f>
        <v>Uttar Pradesh</v>
      </c>
      <c r="H665" t="s">
        <v>2</v>
      </c>
      <c r="I665" t="s">
        <v>3</v>
      </c>
      <c r="J665" t="str">
        <f>IF(ISBLANK(Table1[[#This Row],[Product]]),"Unknown",Table1[[#This Row],[Product]])</f>
        <v>T-Shirt</v>
      </c>
      <c r="K665" s="3">
        <v>3</v>
      </c>
      <c r="L665" s="10">
        <v>1999</v>
      </c>
      <c r="M665" t="s">
        <v>26</v>
      </c>
      <c r="N665" t="str">
        <f>IF(ISBLANK(Table1[[#This Row],[Payment method]]),"Unknown",Table1[[#This Row],[Payment method]])</f>
        <v>Card</v>
      </c>
      <c r="O665" t="s">
        <v>12</v>
      </c>
      <c r="P665" t="str">
        <f>IF(Table1[[#This Row],[Unit price]]&gt;2000,"High Price","Standard Price")</f>
        <v>Standard Price</v>
      </c>
    </row>
    <row r="666" spans="1:16" x14ac:dyDescent="0.3">
      <c r="A666" s="3">
        <v>10665</v>
      </c>
      <c r="B666" s="1">
        <v>45694</v>
      </c>
      <c r="C666" s="3" t="s">
        <v>210</v>
      </c>
      <c r="D666" s="3" t="s">
        <v>7</v>
      </c>
      <c r="E666" t="s">
        <v>35</v>
      </c>
      <c r="F666" t="s">
        <v>15</v>
      </c>
      <c r="G666" t="str">
        <f>IF(ISBLANK(Table1[[#This Row],[State]]),"Unknown",Table1[[#This Row],[State]])</f>
        <v>Maharashtra</v>
      </c>
      <c r="H666" t="s">
        <v>9</v>
      </c>
      <c r="I666" t="s">
        <v>10</v>
      </c>
      <c r="J666" t="str">
        <f>IF(ISBLANK(Table1[[#This Row],[Product]]),"Unknown",Table1[[#This Row],[Product]])</f>
        <v>Chair</v>
      </c>
      <c r="K666" s="3">
        <v>1</v>
      </c>
      <c r="L666" s="10">
        <v>1999</v>
      </c>
      <c r="M666" t="s">
        <v>11</v>
      </c>
      <c r="N666" t="str">
        <f>IF(ISBLANK(Table1[[#This Row],[Payment method]]),"Unknown",Table1[[#This Row],[Payment method]])</f>
        <v>Cash on Delivery</v>
      </c>
      <c r="O666" t="s">
        <v>12</v>
      </c>
      <c r="P666" t="str">
        <f>IF(Table1[[#This Row],[Unit price]]&gt;2000,"High Price","Standard Price")</f>
        <v>Standard Price</v>
      </c>
    </row>
    <row r="667" spans="1:16" x14ac:dyDescent="0.3">
      <c r="A667" s="3">
        <v>10666</v>
      </c>
      <c r="B667" s="1">
        <v>45763</v>
      </c>
      <c r="C667" s="3" t="s">
        <v>38</v>
      </c>
      <c r="D667" s="3" t="s">
        <v>57</v>
      </c>
      <c r="E667" t="s">
        <v>35</v>
      </c>
      <c r="F667" t="s">
        <v>15</v>
      </c>
      <c r="G667" t="str">
        <f>IF(ISBLANK(Table1[[#This Row],[State]]),"Unknown",Table1[[#This Row],[State]])</f>
        <v>Maharashtra</v>
      </c>
      <c r="H667" t="s">
        <v>2</v>
      </c>
      <c r="J667" t="str">
        <f>IF(ISBLANK(Table1[[#This Row],[Product]]),"Unknown",Table1[[#This Row],[Product]])</f>
        <v>Unknown</v>
      </c>
      <c r="K667" s="3">
        <v>4</v>
      </c>
      <c r="L667" s="10">
        <v>299</v>
      </c>
      <c r="N667" t="str">
        <f>IF(ISBLANK(Table1[[#This Row],[Payment method]]),"Unknown",Table1[[#This Row],[Payment method]])</f>
        <v>Unknown</v>
      </c>
      <c r="O667" t="s">
        <v>58</v>
      </c>
      <c r="P667" t="str">
        <f>IF(Table1[[#This Row],[Unit price]]&gt;2000,"High Price","Standard Price")</f>
        <v>Standard Price</v>
      </c>
    </row>
    <row r="668" spans="1:16" x14ac:dyDescent="0.3">
      <c r="A668" s="3">
        <v>10667</v>
      </c>
      <c r="B668" s="1">
        <v>45932</v>
      </c>
      <c r="C668" s="3" t="s">
        <v>221</v>
      </c>
      <c r="D668" s="3" t="s">
        <v>39</v>
      </c>
      <c r="E668" t="s">
        <v>249</v>
      </c>
      <c r="F668" t="s">
        <v>15</v>
      </c>
      <c r="G668" t="str">
        <f>IF(ISBLANK(Table1[[#This Row],[State]]),"Unknown",Table1[[#This Row],[State]])</f>
        <v>Maharashtra</v>
      </c>
      <c r="H668" t="s">
        <v>9</v>
      </c>
      <c r="I668" t="s">
        <v>10</v>
      </c>
      <c r="J668" t="str">
        <f>IF(ISBLANK(Table1[[#This Row],[Product]]),"Unknown",Table1[[#This Row],[Product]])</f>
        <v>Chair</v>
      </c>
      <c r="K668" s="3">
        <v>4</v>
      </c>
      <c r="L668" s="10">
        <v>1999</v>
      </c>
      <c r="M668" t="s">
        <v>26</v>
      </c>
      <c r="N668" t="str">
        <f>IF(ISBLANK(Table1[[#This Row],[Payment method]]),"Unknown",Table1[[#This Row],[Payment method]])</f>
        <v>Card</v>
      </c>
      <c r="O668" t="s">
        <v>17</v>
      </c>
      <c r="P668" t="str">
        <f>IF(Table1[[#This Row],[Unit price]]&gt;2000,"High Price","Standard Price")</f>
        <v>Standard Price</v>
      </c>
    </row>
    <row r="669" spans="1:16" x14ac:dyDescent="0.3">
      <c r="A669" s="3">
        <v>10668</v>
      </c>
      <c r="B669" s="1">
        <v>45698</v>
      </c>
      <c r="C669" s="3" t="s">
        <v>188</v>
      </c>
      <c r="D669" s="3" t="s">
        <v>14</v>
      </c>
      <c r="E669" t="s">
        <v>32</v>
      </c>
      <c r="F669" t="s">
        <v>15</v>
      </c>
      <c r="G669" t="str">
        <f>IF(ISBLANK(Table1[[#This Row],[State]]),"Unknown",Table1[[#This Row],[State]])</f>
        <v>Maharashtra</v>
      </c>
      <c r="H669" t="s">
        <v>33</v>
      </c>
      <c r="I669" t="s">
        <v>21</v>
      </c>
      <c r="J669" t="str">
        <f>IF(ISBLANK(Table1[[#This Row],[Product]]),"Unknown",Table1[[#This Row],[Product]])</f>
        <v>Headphones</v>
      </c>
      <c r="K669" s="3">
        <v>1</v>
      </c>
      <c r="L669" s="10">
        <v>499</v>
      </c>
      <c r="M669" t="s">
        <v>11</v>
      </c>
      <c r="N669" t="str">
        <f>IF(ISBLANK(Table1[[#This Row],[Payment method]]),"Unknown",Table1[[#This Row],[Payment method]])</f>
        <v>Cash on Delivery</v>
      </c>
      <c r="O669" t="s">
        <v>5</v>
      </c>
      <c r="P669" t="str">
        <f>IF(Table1[[#This Row],[Unit price]]&gt;2000,"High Price","Standard Price")</f>
        <v>Standard Price</v>
      </c>
    </row>
    <row r="670" spans="1:16" x14ac:dyDescent="0.3">
      <c r="A670" s="3">
        <v>10669</v>
      </c>
      <c r="B670" s="1">
        <v>45773</v>
      </c>
      <c r="C670" s="3" t="s">
        <v>126</v>
      </c>
      <c r="D670" s="3" t="s">
        <v>57</v>
      </c>
      <c r="E670" t="s">
        <v>8</v>
      </c>
      <c r="F670" t="s">
        <v>52</v>
      </c>
      <c r="G670" t="str">
        <f>IF(ISBLANK(Table1[[#This Row],[State]]),"Unknown",Table1[[#This Row],[State]])</f>
        <v>Karnataka</v>
      </c>
      <c r="H670" t="s">
        <v>9</v>
      </c>
      <c r="I670" t="s">
        <v>16</v>
      </c>
      <c r="J670" t="str">
        <f>IF(ISBLANK(Table1[[#This Row],[Product]]),"Unknown",Table1[[#This Row],[Product]])</f>
        <v>Lamp</v>
      </c>
      <c r="K670" s="3">
        <v>3</v>
      </c>
      <c r="L670" s="10">
        <v>499</v>
      </c>
      <c r="N670" t="str">
        <f>IF(ISBLANK(Table1[[#This Row],[Payment method]]),"Unknown",Table1[[#This Row],[Payment method]])</f>
        <v>Unknown</v>
      </c>
      <c r="O670" t="s">
        <v>58</v>
      </c>
      <c r="P670" t="str">
        <f>IF(Table1[[#This Row],[Unit price]]&gt;2000,"High Price","Standard Price")</f>
        <v>Standard Price</v>
      </c>
    </row>
    <row r="671" spans="1:16" x14ac:dyDescent="0.3">
      <c r="A671" s="3">
        <v>10670</v>
      </c>
      <c r="B671" s="1">
        <v>45735</v>
      </c>
      <c r="C671" s="3" t="s">
        <v>136</v>
      </c>
      <c r="D671" s="3" t="s">
        <v>23</v>
      </c>
      <c r="E671" t="s">
        <v>20</v>
      </c>
      <c r="F671" t="s">
        <v>20</v>
      </c>
      <c r="G671" t="str">
        <f>IF(ISBLANK(Table1[[#This Row],[State]]),"Unknown",Table1[[#This Row],[State]])</f>
        <v>Delhi</v>
      </c>
      <c r="H671" t="s">
        <v>33</v>
      </c>
      <c r="I671" t="s">
        <v>49</v>
      </c>
      <c r="J671" t="str">
        <f>IF(ISBLANK(Table1[[#This Row],[Product]]),"Unknown",Table1[[#This Row],[Product]])</f>
        <v>Keyboard</v>
      </c>
      <c r="K671" s="3">
        <v>3</v>
      </c>
      <c r="L671" s="10">
        <v>299</v>
      </c>
      <c r="M671" t="s">
        <v>11</v>
      </c>
      <c r="N671" t="str">
        <f>IF(ISBLANK(Table1[[#This Row],[Payment method]]),"Unknown",Table1[[#This Row],[Payment method]])</f>
        <v>Cash on Delivery</v>
      </c>
      <c r="O671" t="s">
        <v>58</v>
      </c>
      <c r="P671" t="str">
        <f>IF(Table1[[#This Row],[Unit price]]&gt;2000,"High Price","Standard Price")</f>
        <v>Standard Price</v>
      </c>
    </row>
    <row r="672" spans="1:16" x14ac:dyDescent="0.3">
      <c r="A672" s="3">
        <v>10671</v>
      </c>
      <c r="B672" s="1">
        <v>45795</v>
      </c>
      <c r="C672" s="3" t="s">
        <v>53</v>
      </c>
      <c r="D672" s="3" t="s">
        <v>39</v>
      </c>
      <c r="E672" t="s">
        <v>248</v>
      </c>
      <c r="F672" t="s">
        <v>52</v>
      </c>
      <c r="G672" t="str">
        <f>IF(ISBLANK(Table1[[#This Row],[State]]),"Unknown",Table1[[#This Row],[State]])</f>
        <v>Karnataka</v>
      </c>
      <c r="H672" t="s">
        <v>2</v>
      </c>
      <c r="I672" t="s">
        <v>3</v>
      </c>
      <c r="J672" t="str">
        <f>IF(ISBLANK(Table1[[#This Row],[Product]]),"Unknown",Table1[[#This Row],[Product]])</f>
        <v>T-Shirt</v>
      </c>
      <c r="K672" s="3">
        <v>1</v>
      </c>
      <c r="L672" s="10">
        <v>1999</v>
      </c>
      <c r="M672" t="s">
        <v>26</v>
      </c>
      <c r="N672" t="str">
        <f>IF(ISBLANK(Table1[[#This Row],[Payment method]]),"Unknown",Table1[[#This Row],[Payment method]])</f>
        <v>Card</v>
      </c>
      <c r="O672" t="s">
        <v>17</v>
      </c>
      <c r="P672" t="str">
        <f>IF(Table1[[#This Row],[Unit price]]&gt;2000,"High Price","Standard Price")</f>
        <v>Standard Price</v>
      </c>
    </row>
    <row r="673" spans="1:16" x14ac:dyDescent="0.3">
      <c r="A673" s="3">
        <v>10672</v>
      </c>
      <c r="B673" s="1">
        <v>45726</v>
      </c>
      <c r="C673" s="3" t="s">
        <v>88</v>
      </c>
      <c r="D673" s="3" t="s">
        <v>7</v>
      </c>
      <c r="E673" t="s">
        <v>20</v>
      </c>
      <c r="F673" t="s">
        <v>20</v>
      </c>
      <c r="G673" t="str">
        <f>IF(ISBLANK(Table1[[#This Row],[State]]),"Unknown",Table1[[#This Row],[State]])</f>
        <v>Delhi</v>
      </c>
      <c r="H673" t="s">
        <v>9</v>
      </c>
      <c r="J673" t="str">
        <f>IF(ISBLANK(Table1[[#This Row],[Product]]),"Unknown",Table1[[#This Row],[Product]])</f>
        <v>Unknown</v>
      </c>
      <c r="K673" s="3">
        <v>5</v>
      </c>
      <c r="L673" s="10">
        <v>499</v>
      </c>
      <c r="M673" t="s">
        <v>26</v>
      </c>
      <c r="N673" t="str">
        <f>IF(ISBLANK(Table1[[#This Row],[Payment method]]),"Unknown",Table1[[#This Row],[Payment method]])</f>
        <v>Card</v>
      </c>
      <c r="O673" t="s">
        <v>17</v>
      </c>
      <c r="P673" t="str">
        <f>IF(Table1[[#This Row],[Unit price]]&gt;2000,"High Price","Standard Price")</f>
        <v>Standard Price</v>
      </c>
    </row>
    <row r="674" spans="1:16" x14ac:dyDescent="0.3">
      <c r="A674" s="3">
        <v>10673</v>
      </c>
      <c r="B674" s="1">
        <v>45779</v>
      </c>
      <c r="C674" s="3" t="s">
        <v>233</v>
      </c>
      <c r="D674" s="3" t="s">
        <v>57</v>
      </c>
      <c r="E674" t="s">
        <v>8</v>
      </c>
      <c r="F674" t="s">
        <v>52</v>
      </c>
      <c r="G674" t="str">
        <f>IF(ISBLANK(Table1[[#This Row],[State]]),"Unknown",Table1[[#This Row],[State]])</f>
        <v>Karnataka</v>
      </c>
      <c r="H674" t="s">
        <v>33</v>
      </c>
      <c r="I674" t="s">
        <v>49</v>
      </c>
      <c r="J674" t="str">
        <f>IF(ISBLANK(Table1[[#This Row],[Product]]),"Unknown",Table1[[#This Row],[Product]])</f>
        <v>Keyboard</v>
      </c>
      <c r="K674" s="3">
        <v>5</v>
      </c>
      <c r="L674" s="10">
        <v>299</v>
      </c>
      <c r="N674" t="str">
        <f>IF(ISBLANK(Table1[[#This Row],[Payment method]]),"Unknown",Table1[[#This Row],[Payment method]])</f>
        <v>Unknown</v>
      </c>
      <c r="O674" t="s">
        <v>58</v>
      </c>
      <c r="P674" t="str">
        <f>IF(Table1[[#This Row],[Unit price]]&gt;2000,"High Price","Standard Price")</f>
        <v>Standard Price</v>
      </c>
    </row>
    <row r="675" spans="1:16" x14ac:dyDescent="0.3">
      <c r="A675" s="3">
        <v>10674</v>
      </c>
      <c r="B675" s="1">
        <v>45754</v>
      </c>
      <c r="C675" s="3" t="s">
        <v>73</v>
      </c>
      <c r="D675" s="3" t="s">
        <v>39</v>
      </c>
      <c r="E675" t="s">
        <v>45</v>
      </c>
      <c r="G675" t="str">
        <f>IF(ISBLANK(Table1[[#This Row],[State]]),"Unknown",Table1[[#This Row],[State]])</f>
        <v>Unknown</v>
      </c>
      <c r="H675" t="s">
        <v>2</v>
      </c>
      <c r="I675" t="s">
        <v>3</v>
      </c>
      <c r="J675" t="str">
        <f>IF(ISBLANK(Table1[[#This Row],[Product]]),"Unknown",Table1[[#This Row],[Product]])</f>
        <v>T-Shirt</v>
      </c>
      <c r="K675" s="3">
        <v>4</v>
      </c>
      <c r="L675" s="10">
        <v>1299</v>
      </c>
      <c r="M675" t="s">
        <v>4</v>
      </c>
      <c r="N675" t="str">
        <f>IF(ISBLANK(Table1[[#This Row],[Payment method]]),"Unknown",Table1[[#This Row],[Payment method]])</f>
        <v>Net Banking</v>
      </c>
      <c r="O675" t="s">
        <v>17</v>
      </c>
      <c r="P675" t="str">
        <f>IF(Table1[[#This Row],[Unit price]]&gt;2000,"High Price","Standard Price")</f>
        <v>Standard Price</v>
      </c>
    </row>
    <row r="676" spans="1:16" x14ac:dyDescent="0.3">
      <c r="A676" s="3">
        <v>10675</v>
      </c>
      <c r="B676" s="1">
        <v>45734</v>
      </c>
      <c r="C676" s="3" t="s">
        <v>186</v>
      </c>
      <c r="D676" s="3" t="s">
        <v>19</v>
      </c>
      <c r="E676" t="s">
        <v>35</v>
      </c>
      <c r="F676" t="s">
        <v>15</v>
      </c>
      <c r="G676" t="str">
        <f>IF(ISBLANK(Table1[[#This Row],[State]]),"Unknown",Table1[[#This Row],[State]])</f>
        <v>Maharashtra</v>
      </c>
      <c r="H676" t="s">
        <v>33</v>
      </c>
      <c r="I676" t="s">
        <v>37</v>
      </c>
      <c r="J676" t="str">
        <f>IF(ISBLANK(Table1[[#This Row],[Product]]),"Unknown",Table1[[#This Row],[Product]])</f>
        <v>Mouse</v>
      </c>
      <c r="K676" s="3">
        <v>1</v>
      </c>
      <c r="L676" s="10">
        <v>799</v>
      </c>
      <c r="N676" t="str">
        <f>IF(ISBLANK(Table1[[#This Row],[Payment method]]),"Unknown",Table1[[#This Row],[Payment method]])</f>
        <v>Unknown</v>
      </c>
      <c r="O676" t="s">
        <v>58</v>
      </c>
      <c r="P676" t="str">
        <f>IF(Table1[[#This Row],[Unit price]]&gt;2000,"High Price","Standard Price")</f>
        <v>Standard Price</v>
      </c>
    </row>
    <row r="677" spans="1:16" x14ac:dyDescent="0.3">
      <c r="A677" s="3">
        <v>10676</v>
      </c>
      <c r="B677" s="1">
        <v>45709</v>
      </c>
      <c r="C677" s="3" t="s">
        <v>107</v>
      </c>
      <c r="D677" s="3" t="s">
        <v>19</v>
      </c>
      <c r="E677" t="s">
        <v>20</v>
      </c>
      <c r="F677" t="s">
        <v>20</v>
      </c>
      <c r="G677" t="str">
        <f>IF(ISBLANK(Table1[[#This Row],[State]]),"Unknown",Table1[[#This Row],[State]])</f>
        <v>Delhi</v>
      </c>
      <c r="H677" t="s">
        <v>2</v>
      </c>
      <c r="I677" t="s">
        <v>24</v>
      </c>
      <c r="J677" t="str">
        <f>IF(ISBLANK(Table1[[#This Row],[Product]]),"Unknown",Table1[[#This Row],[Product]])</f>
        <v>Jeans</v>
      </c>
      <c r="K677" s="3">
        <v>1</v>
      </c>
      <c r="L677" s="10">
        <v>499</v>
      </c>
      <c r="M677" t="s">
        <v>26</v>
      </c>
      <c r="N677" t="str">
        <f>IF(ISBLANK(Table1[[#This Row],[Payment method]]),"Unknown",Table1[[#This Row],[Payment method]])</f>
        <v>Card</v>
      </c>
      <c r="O677" t="s">
        <v>12</v>
      </c>
      <c r="P677" t="str">
        <f>IF(Table1[[#This Row],[Unit price]]&gt;2000,"High Price","Standard Price")</f>
        <v>Standard Price</v>
      </c>
    </row>
    <row r="678" spans="1:16" x14ac:dyDescent="0.3">
      <c r="A678" s="3">
        <v>10677</v>
      </c>
      <c r="B678" s="1">
        <v>45776</v>
      </c>
      <c r="C678" s="3" t="s">
        <v>213</v>
      </c>
      <c r="D678" s="3" t="s">
        <v>43</v>
      </c>
      <c r="E678" t="s">
        <v>20</v>
      </c>
      <c r="F678" t="s">
        <v>20</v>
      </c>
      <c r="G678" t="str">
        <f>IF(ISBLANK(Table1[[#This Row],[State]]),"Unknown",Table1[[#This Row],[State]])</f>
        <v>Delhi</v>
      </c>
      <c r="H678" t="s">
        <v>2</v>
      </c>
      <c r="I678" t="s">
        <v>24</v>
      </c>
      <c r="J678" t="str">
        <f>IF(ISBLANK(Table1[[#This Row],[Product]]),"Unknown",Table1[[#This Row],[Product]])</f>
        <v>Jeans</v>
      </c>
      <c r="K678" s="3">
        <v>5</v>
      </c>
      <c r="L678" s="10">
        <v>499</v>
      </c>
      <c r="M678" t="s">
        <v>11</v>
      </c>
      <c r="N678" t="str">
        <f>IF(ISBLANK(Table1[[#This Row],[Payment method]]),"Unknown",Table1[[#This Row],[Payment method]])</f>
        <v>Cash on Delivery</v>
      </c>
      <c r="O678" t="s">
        <v>58</v>
      </c>
      <c r="P678" t="str">
        <f>IF(Table1[[#This Row],[Unit price]]&gt;2000,"High Price","Standard Price")</f>
        <v>Standard Price</v>
      </c>
    </row>
    <row r="679" spans="1:16" x14ac:dyDescent="0.3">
      <c r="A679" s="3">
        <v>10678</v>
      </c>
      <c r="B679" s="1">
        <v>45822</v>
      </c>
      <c r="C679" s="3" t="s">
        <v>122</v>
      </c>
      <c r="D679" s="3" t="s">
        <v>7</v>
      </c>
      <c r="E679" t="s">
        <v>247</v>
      </c>
      <c r="F679" t="s">
        <v>15</v>
      </c>
      <c r="G679" t="str">
        <f>IF(ISBLANK(Table1[[#This Row],[State]]),"Unknown",Table1[[#This Row],[State]])</f>
        <v>Maharashtra</v>
      </c>
      <c r="H679" t="s">
        <v>33</v>
      </c>
      <c r="I679" t="s">
        <v>21</v>
      </c>
      <c r="J679" t="str">
        <f>IF(ISBLANK(Table1[[#This Row],[Product]]),"Unknown",Table1[[#This Row],[Product]])</f>
        <v>Headphones</v>
      </c>
      <c r="K679" s="3">
        <v>3</v>
      </c>
      <c r="L679" s="10">
        <v>799</v>
      </c>
      <c r="N679" t="str">
        <f>IF(ISBLANK(Table1[[#This Row],[Payment method]]),"Unknown",Table1[[#This Row],[Payment method]])</f>
        <v>Unknown</v>
      </c>
      <c r="O679" t="s">
        <v>12</v>
      </c>
      <c r="P679" t="str">
        <f>IF(Table1[[#This Row],[Unit price]]&gt;2000,"High Price","Standard Price")</f>
        <v>Standard Price</v>
      </c>
    </row>
    <row r="680" spans="1:16" x14ac:dyDescent="0.3">
      <c r="A680" s="3">
        <v>10679</v>
      </c>
      <c r="B680" s="1">
        <v>45753</v>
      </c>
      <c r="C680" s="3" t="s">
        <v>131</v>
      </c>
      <c r="D680" s="3" t="s">
        <v>1</v>
      </c>
      <c r="E680" t="s">
        <v>20</v>
      </c>
      <c r="F680" t="s">
        <v>20</v>
      </c>
      <c r="G680" t="str">
        <f>IF(ISBLANK(Table1[[#This Row],[State]]),"Unknown",Table1[[#This Row],[State]])</f>
        <v>Delhi</v>
      </c>
      <c r="H680" t="s">
        <v>9</v>
      </c>
      <c r="I680" t="s">
        <v>16</v>
      </c>
      <c r="J680" t="str">
        <f>IF(ISBLANK(Table1[[#This Row],[Product]]),"Unknown",Table1[[#This Row],[Product]])</f>
        <v>Lamp</v>
      </c>
      <c r="K680" s="3">
        <v>3</v>
      </c>
      <c r="L680" s="10">
        <v>1299</v>
      </c>
      <c r="M680" t="s">
        <v>11</v>
      </c>
      <c r="N680" t="str">
        <f>IF(ISBLANK(Table1[[#This Row],[Payment method]]),"Unknown",Table1[[#This Row],[Payment method]])</f>
        <v>Cash on Delivery</v>
      </c>
      <c r="O680" t="s">
        <v>12</v>
      </c>
      <c r="P680" t="str">
        <f>IF(Table1[[#This Row],[Unit price]]&gt;2000,"High Price","Standard Price")</f>
        <v>Standard Price</v>
      </c>
    </row>
    <row r="681" spans="1:16" x14ac:dyDescent="0.3">
      <c r="A681" s="3">
        <v>10680</v>
      </c>
      <c r="B681" s="1">
        <v>45801</v>
      </c>
      <c r="C681" s="3" t="s">
        <v>128</v>
      </c>
      <c r="D681" s="3" t="s">
        <v>14</v>
      </c>
      <c r="E681" t="s">
        <v>32</v>
      </c>
      <c r="F681" t="s">
        <v>15</v>
      </c>
      <c r="G681" t="str">
        <f>IF(ISBLANK(Table1[[#This Row],[State]]),"Unknown",Table1[[#This Row],[State]])</f>
        <v>Maharashtra</v>
      </c>
      <c r="H681" t="s">
        <v>2</v>
      </c>
      <c r="I681" t="s">
        <v>24</v>
      </c>
      <c r="J681" t="str">
        <f>IF(ISBLANK(Table1[[#This Row],[Product]]),"Unknown",Table1[[#This Row],[Product]])</f>
        <v>Jeans</v>
      </c>
      <c r="K681" s="3">
        <v>1</v>
      </c>
      <c r="L681" s="10">
        <v>799</v>
      </c>
      <c r="M681" t="s">
        <v>26</v>
      </c>
      <c r="N681" t="str">
        <f>IF(ISBLANK(Table1[[#This Row],[Payment method]]),"Unknown",Table1[[#This Row],[Payment method]])</f>
        <v>Card</v>
      </c>
      <c r="O681" t="s">
        <v>58</v>
      </c>
      <c r="P681" t="str">
        <f>IF(Table1[[#This Row],[Unit price]]&gt;2000,"High Price","Standard Price")</f>
        <v>Standard Price</v>
      </c>
    </row>
    <row r="682" spans="1:16" x14ac:dyDescent="0.3">
      <c r="A682" s="3">
        <v>10681</v>
      </c>
      <c r="B682" s="1">
        <v>45811</v>
      </c>
      <c r="C682" s="3" t="s">
        <v>134</v>
      </c>
      <c r="D682" s="3" t="s">
        <v>39</v>
      </c>
      <c r="E682" t="s">
        <v>247</v>
      </c>
      <c r="F682" t="s">
        <v>36</v>
      </c>
      <c r="G682" t="str">
        <f>IF(ISBLANK(Table1[[#This Row],[State]]),"Unknown",Table1[[#This Row],[State]])</f>
        <v>Maharastra</v>
      </c>
      <c r="H682" t="s">
        <v>9</v>
      </c>
      <c r="I682" t="s">
        <v>10</v>
      </c>
      <c r="J682" t="str">
        <f>IF(ISBLANK(Table1[[#This Row],[Product]]),"Unknown",Table1[[#This Row],[Product]])</f>
        <v>Chair</v>
      </c>
      <c r="K682" s="3">
        <v>2</v>
      </c>
      <c r="L682" s="10">
        <v>299</v>
      </c>
      <c r="M682" t="s">
        <v>11</v>
      </c>
      <c r="N682" t="str">
        <f>IF(ISBLANK(Table1[[#This Row],[Payment method]]),"Unknown",Table1[[#This Row],[Payment method]])</f>
        <v>Cash on Delivery</v>
      </c>
      <c r="O682" t="s">
        <v>12</v>
      </c>
      <c r="P682" t="str">
        <f>IF(Table1[[#This Row],[Unit price]]&gt;2000,"High Price","Standard Price")</f>
        <v>Standard Price</v>
      </c>
    </row>
    <row r="683" spans="1:16" x14ac:dyDescent="0.3">
      <c r="A683" s="3">
        <v>10682</v>
      </c>
      <c r="B683" s="1">
        <v>45788</v>
      </c>
      <c r="C683" s="3" t="s">
        <v>222</v>
      </c>
      <c r="D683" s="3" t="s">
        <v>43</v>
      </c>
      <c r="E683" t="s">
        <v>20</v>
      </c>
      <c r="F683" t="s">
        <v>20</v>
      </c>
      <c r="G683" t="str">
        <f>IF(ISBLANK(Table1[[#This Row],[State]]),"Unknown",Table1[[#This Row],[State]])</f>
        <v>Delhi</v>
      </c>
      <c r="H683" t="s">
        <v>9</v>
      </c>
      <c r="I683" t="s">
        <v>16</v>
      </c>
      <c r="J683" t="str">
        <f>IF(ISBLANK(Table1[[#This Row],[Product]]),"Unknown",Table1[[#This Row],[Product]])</f>
        <v>Lamp</v>
      </c>
      <c r="K683" s="3">
        <v>3</v>
      </c>
      <c r="L683" s="10">
        <v>299</v>
      </c>
      <c r="N683" t="str">
        <f>IF(ISBLANK(Table1[[#This Row],[Payment method]]),"Unknown",Table1[[#This Row],[Payment method]])</f>
        <v>Unknown</v>
      </c>
      <c r="O683" t="s">
        <v>17</v>
      </c>
      <c r="P683" t="str">
        <f>IF(Table1[[#This Row],[Unit price]]&gt;2000,"High Price","Standard Price")</f>
        <v>Standard Price</v>
      </c>
    </row>
    <row r="684" spans="1:16" x14ac:dyDescent="0.3">
      <c r="A684" s="3">
        <v>10683</v>
      </c>
      <c r="B684" s="1">
        <v>45684</v>
      </c>
      <c r="C684" s="3" t="s">
        <v>96</v>
      </c>
      <c r="D684" s="3" t="s">
        <v>39</v>
      </c>
      <c r="E684" t="s">
        <v>8</v>
      </c>
      <c r="F684" t="s">
        <v>52</v>
      </c>
      <c r="G684" t="str">
        <f>IF(ISBLANK(Table1[[#This Row],[State]]),"Unknown",Table1[[#This Row],[State]])</f>
        <v>Karnataka</v>
      </c>
      <c r="H684" t="s">
        <v>9</v>
      </c>
      <c r="I684" t="s">
        <v>16</v>
      </c>
      <c r="J684" t="str">
        <f>IF(ISBLANK(Table1[[#This Row],[Product]]),"Unknown",Table1[[#This Row],[Product]])</f>
        <v>Lamp</v>
      </c>
      <c r="K684" s="3">
        <v>5</v>
      </c>
      <c r="L684" s="10">
        <v>1999</v>
      </c>
      <c r="M684" t="s">
        <v>11</v>
      </c>
      <c r="N684" t="str">
        <f>IF(ISBLANK(Table1[[#This Row],[Payment method]]),"Unknown",Table1[[#This Row],[Payment method]])</f>
        <v>Cash on Delivery</v>
      </c>
      <c r="O684" t="s">
        <v>17</v>
      </c>
      <c r="P684" t="str">
        <f>IF(Table1[[#This Row],[Unit price]]&gt;2000,"High Price","Standard Price")</f>
        <v>Standard Price</v>
      </c>
    </row>
    <row r="685" spans="1:16" x14ac:dyDescent="0.3">
      <c r="A685" s="3">
        <v>10684</v>
      </c>
      <c r="B685" s="1">
        <v>45747</v>
      </c>
      <c r="C685" s="3" t="s">
        <v>160</v>
      </c>
      <c r="D685" s="3" t="s">
        <v>39</v>
      </c>
      <c r="E685" t="s">
        <v>32</v>
      </c>
      <c r="F685" t="s">
        <v>15</v>
      </c>
      <c r="G685" t="str">
        <f>IF(ISBLANK(Table1[[#This Row],[State]]),"Unknown",Table1[[#This Row],[State]])</f>
        <v>Maharashtra</v>
      </c>
      <c r="H685" t="s">
        <v>2</v>
      </c>
      <c r="I685" t="s">
        <v>3</v>
      </c>
      <c r="J685" t="str">
        <f>IF(ISBLANK(Table1[[#This Row],[Product]]),"Unknown",Table1[[#This Row],[Product]])</f>
        <v>T-Shirt</v>
      </c>
      <c r="K685" s="3">
        <v>5</v>
      </c>
      <c r="L685" s="10">
        <v>499</v>
      </c>
      <c r="M685" t="s">
        <v>4</v>
      </c>
      <c r="N685" t="str">
        <f>IF(ISBLANK(Table1[[#This Row],[Payment method]]),"Unknown",Table1[[#This Row],[Payment method]])</f>
        <v>Net Banking</v>
      </c>
      <c r="O685" t="s">
        <v>58</v>
      </c>
      <c r="P685" t="str">
        <f>IF(Table1[[#This Row],[Unit price]]&gt;2000,"High Price","Standard Price")</f>
        <v>Standard Price</v>
      </c>
    </row>
    <row r="686" spans="1:16" x14ac:dyDescent="0.3">
      <c r="A686" s="3">
        <v>10685</v>
      </c>
      <c r="B686" s="1">
        <v>45760</v>
      </c>
      <c r="C686" s="3" t="s">
        <v>228</v>
      </c>
      <c r="D686" s="3" t="s">
        <v>23</v>
      </c>
      <c r="E686" t="s">
        <v>248</v>
      </c>
      <c r="F686" t="s">
        <v>52</v>
      </c>
      <c r="G686" t="str">
        <f>IF(ISBLANK(Table1[[#This Row],[State]]),"Unknown",Table1[[#This Row],[State]])</f>
        <v>Karnataka</v>
      </c>
      <c r="H686" t="s">
        <v>33</v>
      </c>
      <c r="I686" t="s">
        <v>49</v>
      </c>
      <c r="J686" t="str">
        <f>IF(ISBLANK(Table1[[#This Row],[Product]]),"Unknown",Table1[[#This Row],[Product]])</f>
        <v>Keyboard</v>
      </c>
      <c r="K686" s="3">
        <v>5</v>
      </c>
      <c r="L686" s="10">
        <v>1299</v>
      </c>
      <c r="M686" t="s">
        <v>26</v>
      </c>
      <c r="N686" t="str">
        <f>IF(ISBLANK(Table1[[#This Row],[Payment method]]),"Unknown",Table1[[#This Row],[Payment method]])</f>
        <v>Card</v>
      </c>
      <c r="O686" t="s">
        <v>58</v>
      </c>
      <c r="P686" t="str">
        <f>IF(Table1[[#This Row],[Unit price]]&gt;2000,"High Price","Standard Price")</f>
        <v>Standard Price</v>
      </c>
    </row>
    <row r="687" spans="1:16" x14ac:dyDescent="0.3">
      <c r="A687" s="3">
        <v>10686</v>
      </c>
      <c r="B687" s="1">
        <v>45681</v>
      </c>
      <c r="C687" s="3" t="s">
        <v>206</v>
      </c>
      <c r="D687" s="3" t="s">
        <v>39</v>
      </c>
      <c r="E687" t="s">
        <v>8</v>
      </c>
      <c r="F687" t="s">
        <v>52</v>
      </c>
      <c r="G687" t="str">
        <f>IF(ISBLANK(Table1[[#This Row],[State]]),"Unknown",Table1[[#This Row],[State]])</f>
        <v>Karnataka</v>
      </c>
      <c r="H687" t="s">
        <v>2</v>
      </c>
      <c r="I687" t="s">
        <v>3</v>
      </c>
      <c r="J687" t="str">
        <f>IF(ISBLANK(Table1[[#This Row],[Product]]),"Unknown",Table1[[#This Row],[Product]])</f>
        <v>T-Shirt</v>
      </c>
      <c r="K687" s="3">
        <v>2</v>
      </c>
      <c r="L687" s="10">
        <v>299</v>
      </c>
      <c r="N687" t="str">
        <f>IF(ISBLANK(Table1[[#This Row],[Payment method]]),"Unknown",Table1[[#This Row],[Payment method]])</f>
        <v>Unknown</v>
      </c>
      <c r="O687" t="s">
        <v>58</v>
      </c>
      <c r="P687" t="str">
        <f>IF(Table1[[#This Row],[Unit price]]&gt;2000,"High Price","Standard Price")</f>
        <v>Standard Price</v>
      </c>
    </row>
    <row r="688" spans="1:16" x14ac:dyDescent="0.3">
      <c r="A688" s="3">
        <v>10687</v>
      </c>
      <c r="B688" s="1">
        <v>45752</v>
      </c>
      <c r="C688" s="3" t="s">
        <v>64</v>
      </c>
      <c r="D688" s="3" t="s">
        <v>57</v>
      </c>
      <c r="E688" t="s">
        <v>35</v>
      </c>
      <c r="F688" t="s">
        <v>36</v>
      </c>
      <c r="G688" t="str">
        <f>IF(ISBLANK(Table1[[#This Row],[State]]),"Unknown",Table1[[#This Row],[State]])</f>
        <v>Maharastra</v>
      </c>
      <c r="H688" t="s">
        <v>33</v>
      </c>
      <c r="I688" t="s">
        <v>49</v>
      </c>
      <c r="J688" t="str">
        <f>IF(ISBLANK(Table1[[#This Row],[Product]]),"Unknown",Table1[[#This Row],[Product]])</f>
        <v>Keyboard</v>
      </c>
      <c r="K688" s="3">
        <v>2</v>
      </c>
      <c r="L688" s="10">
        <v>1299</v>
      </c>
      <c r="N688" t="str">
        <f>IF(ISBLANK(Table1[[#This Row],[Payment method]]),"Unknown",Table1[[#This Row],[Payment method]])</f>
        <v>Unknown</v>
      </c>
      <c r="O688" t="s">
        <v>58</v>
      </c>
      <c r="P688" t="str">
        <f>IF(Table1[[#This Row],[Unit price]]&gt;2000,"High Price","Standard Price")</f>
        <v>Standard Price</v>
      </c>
    </row>
    <row r="689" spans="1:16" x14ac:dyDescent="0.3">
      <c r="A689" s="3">
        <v>10688</v>
      </c>
      <c r="B689" s="1">
        <v>45815</v>
      </c>
      <c r="C689" s="3" t="s">
        <v>59</v>
      </c>
      <c r="D689" s="3" t="s">
        <v>1</v>
      </c>
      <c r="E689" t="s">
        <v>20</v>
      </c>
      <c r="G689" t="str">
        <f>IF(ISBLANK(Table1[[#This Row],[State]]),"Unknown",Table1[[#This Row],[State]])</f>
        <v>Unknown</v>
      </c>
      <c r="H689" t="s">
        <v>33</v>
      </c>
      <c r="I689" t="s">
        <v>37</v>
      </c>
      <c r="J689" t="str">
        <f>IF(ISBLANK(Table1[[#This Row],[Product]]),"Unknown",Table1[[#This Row],[Product]])</f>
        <v>Mouse</v>
      </c>
      <c r="K689" s="3">
        <v>5</v>
      </c>
      <c r="L689" s="10">
        <v>299</v>
      </c>
      <c r="M689" t="s">
        <v>4</v>
      </c>
      <c r="N689" t="str">
        <f>IF(ISBLANK(Table1[[#This Row],[Payment method]]),"Unknown",Table1[[#This Row],[Payment method]])</f>
        <v>Net Banking</v>
      </c>
      <c r="O689" t="s">
        <v>58</v>
      </c>
      <c r="P689" t="str">
        <f>IF(Table1[[#This Row],[Unit price]]&gt;2000,"High Price","Standard Price")</f>
        <v>Standard Price</v>
      </c>
    </row>
    <row r="690" spans="1:16" x14ac:dyDescent="0.3">
      <c r="A690" s="3">
        <v>10689</v>
      </c>
      <c r="B690" s="1">
        <v>45700</v>
      </c>
      <c r="C690" s="3" t="s">
        <v>96</v>
      </c>
      <c r="D690" s="3" t="s">
        <v>7</v>
      </c>
      <c r="E690" t="s">
        <v>20</v>
      </c>
      <c r="F690" t="s">
        <v>20</v>
      </c>
      <c r="G690" t="str">
        <f>IF(ISBLANK(Table1[[#This Row],[State]]),"Unknown",Table1[[#This Row],[State]])</f>
        <v>Delhi</v>
      </c>
      <c r="H690" t="s">
        <v>9</v>
      </c>
      <c r="I690" t="s">
        <v>10</v>
      </c>
      <c r="J690" t="str">
        <f>IF(ISBLANK(Table1[[#This Row],[Product]]),"Unknown",Table1[[#This Row],[Product]])</f>
        <v>Chair</v>
      </c>
      <c r="K690" s="3">
        <v>2</v>
      </c>
      <c r="L690" s="10">
        <v>299</v>
      </c>
      <c r="M690" t="s">
        <v>11</v>
      </c>
      <c r="N690" t="str">
        <f>IF(ISBLANK(Table1[[#This Row],[Payment method]]),"Unknown",Table1[[#This Row],[Payment method]])</f>
        <v>Cash on Delivery</v>
      </c>
      <c r="O690" t="s">
        <v>17</v>
      </c>
      <c r="P690" t="str">
        <f>IF(Table1[[#This Row],[Unit price]]&gt;2000,"High Price","Standard Price")</f>
        <v>Standard Price</v>
      </c>
    </row>
    <row r="691" spans="1:16" x14ac:dyDescent="0.3">
      <c r="A691" s="3">
        <v>10690</v>
      </c>
      <c r="B691" s="1">
        <v>45995</v>
      </c>
      <c r="C691" s="3" t="s">
        <v>68</v>
      </c>
      <c r="D691" s="3" t="s">
        <v>7</v>
      </c>
      <c r="E691" t="s">
        <v>248</v>
      </c>
      <c r="F691" t="s">
        <v>52</v>
      </c>
      <c r="G691" t="str">
        <f>IF(ISBLANK(Table1[[#This Row],[State]]),"Unknown",Table1[[#This Row],[State]])</f>
        <v>Karnataka</v>
      </c>
      <c r="H691" t="s">
        <v>33</v>
      </c>
      <c r="I691" t="s">
        <v>37</v>
      </c>
      <c r="J691" t="str">
        <f>IF(ISBLANK(Table1[[#This Row],[Product]]),"Unknown",Table1[[#This Row],[Product]])</f>
        <v>Mouse</v>
      </c>
      <c r="K691" s="3">
        <v>1</v>
      </c>
      <c r="L691" s="10">
        <v>1999</v>
      </c>
      <c r="N691" t="str">
        <f>IF(ISBLANK(Table1[[#This Row],[Payment method]]),"Unknown",Table1[[#This Row],[Payment method]])</f>
        <v>Unknown</v>
      </c>
      <c r="O691" t="s">
        <v>58</v>
      </c>
      <c r="P691" t="str">
        <f>IF(Table1[[#This Row],[Unit price]]&gt;2000,"High Price","Standard Price")</f>
        <v>Standard Price</v>
      </c>
    </row>
    <row r="692" spans="1:16" x14ac:dyDescent="0.3">
      <c r="A692" s="3">
        <v>10691</v>
      </c>
      <c r="B692" s="1">
        <v>45831</v>
      </c>
      <c r="C692" s="3" t="s">
        <v>228</v>
      </c>
      <c r="D692" s="3" t="s">
        <v>7</v>
      </c>
      <c r="E692" t="s">
        <v>249</v>
      </c>
      <c r="F692" t="s">
        <v>36</v>
      </c>
      <c r="G692" t="str">
        <f>IF(ISBLANK(Table1[[#This Row],[State]]),"Unknown",Table1[[#This Row],[State]])</f>
        <v>Maharastra</v>
      </c>
      <c r="H692" t="s">
        <v>9</v>
      </c>
      <c r="I692" t="s">
        <v>10</v>
      </c>
      <c r="J692" t="str">
        <f>IF(ISBLANK(Table1[[#This Row],[Product]]),"Unknown",Table1[[#This Row],[Product]])</f>
        <v>Chair</v>
      </c>
      <c r="K692" s="3">
        <v>4</v>
      </c>
      <c r="L692" s="10">
        <v>799</v>
      </c>
      <c r="M692" t="s">
        <v>11</v>
      </c>
      <c r="N692" t="str">
        <f>IF(ISBLANK(Table1[[#This Row],[Payment method]]),"Unknown",Table1[[#This Row],[Payment method]])</f>
        <v>Cash on Delivery</v>
      </c>
      <c r="O692" t="s">
        <v>5</v>
      </c>
      <c r="P692" t="str">
        <f>IF(Table1[[#This Row],[Unit price]]&gt;2000,"High Price","Standard Price")</f>
        <v>Standard Price</v>
      </c>
    </row>
    <row r="693" spans="1:16" x14ac:dyDescent="0.3">
      <c r="A693" s="3">
        <v>10692</v>
      </c>
      <c r="B693" s="1">
        <v>45665</v>
      </c>
      <c r="C693" s="3" t="s">
        <v>168</v>
      </c>
      <c r="D693" s="3" t="s">
        <v>19</v>
      </c>
      <c r="E693" t="s">
        <v>45</v>
      </c>
      <c r="F693" t="s">
        <v>54</v>
      </c>
      <c r="G693" t="str">
        <f>IF(ISBLANK(Table1[[#This Row],[State]]),"Unknown",Table1[[#This Row],[State]])</f>
        <v>Uttar Pradesh</v>
      </c>
      <c r="H693" t="s">
        <v>9</v>
      </c>
      <c r="I693" t="s">
        <v>16</v>
      </c>
      <c r="J693" t="str">
        <f>IF(ISBLANK(Table1[[#This Row],[Product]]),"Unknown",Table1[[#This Row],[Product]])</f>
        <v>Lamp</v>
      </c>
      <c r="K693" s="3">
        <v>1</v>
      </c>
      <c r="L693" s="10">
        <v>499</v>
      </c>
      <c r="M693" t="s">
        <v>11</v>
      </c>
      <c r="N693" t="str">
        <f>IF(ISBLANK(Table1[[#This Row],[Payment method]]),"Unknown",Table1[[#This Row],[Payment method]])</f>
        <v>Cash on Delivery</v>
      </c>
      <c r="O693" t="s">
        <v>5</v>
      </c>
      <c r="P693" t="str">
        <f>IF(Table1[[#This Row],[Unit price]]&gt;2000,"High Price","Standard Price")</f>
        <v>Standard Price</v>
      </c>
    </row>
    <row r="694" spans="1:16" x14ac:dyDescent="0.3">
      <c r="A694" s="3">
        <v>10693</v>
      </c>
      <c r="B694" s="1">
        <v>45794</v>
      </c>
      <c r="C694" s="3" t="s">
        <v>199</v>
      </c>
      <c r="D694" s="3" t="s">
        <v>19</v>
      </c>
      <c r="E694" t="s">
        <v>45</v>
      </c>
      <c r="F694" t="s">
        <v>54</v>
      </c>
      <c r="G694" t="str">
        <f>IF(ISBLANK(Table1[[#This Row],[State]]),"Unknown",Table1[[#This Row],[State]])</f>
        <v>Uttar Pradesh</v>
      </c>
      <c r="H694" t="s">
        <v>9</v>
      </c>
      <c r="I694" t="s">
        <v>16</v>
      </c>
      <c r="J694" t="str">
        <f>IF(ISBLANK(Table1[[#This Row],[Product]]),"Unknown",Table1[[#This Row],[Product]])</f>
        <v>Lamp</v>
      </c>
      <c r="K694" s="3">
        <v>2</v>
      </c>
      <c r="L694" s="10">
        <v>299</v>
      </c>
      <c r="N694" t="str">
        <f>IF(ISBLANK(Table1[[#This Row],[Payment method]]),"Unknown",Table1[[#This Row],[Payment method]])</f>
        <v>Unknown</v>
      </c>
      <c r="O694" t="s">
        <v>5</v>
      </c>
      <c r="P694" t="str">
        <f>IF(Table1[[#This Row],[Unit price]]&gt;2000,"High Price","Standard Price")</f>
        <v>Standard Price</v>
      </c>
    </row>
    <row r="695" spans="1:16" x14ac:dyDescent="0.3">
      <c r="A695" s="3">
        <v>10694</v>
      </c>
      <c r="B695" s="1">
        <v>45809</v>
      </c>
      <c r="C695" s="3" t="s">
        <v>100</v>
      </c>
      <c r="D695" s="3" t="s">
        <v>14</v>
      </c>
      <c r="E695" t="s">
        <v>20</v>
      </c>
      <c r="G695" t="str">
        <f>IF(ISBLANK(Table1[[#This Row],[State]]),"Unknown",Table1[[#This Row],[State]])</f>
        <v>Unknown</v>
      </c>
      <c r="H695" t="s">
        <v>2</v>
      </c>
      <c r="I695" t="s">
        <v>3</v>
      </c>
      <c r="J695" t="str">
        <f>IF(ISBLANK(Table1[[#This Row],[Product]]),"Unknown",Table1[[#This Row],[Product]])</f>
        <v>T-Shirt</v>
      </c>
      <c r="K695" s="3">
        <v>2</v>
      </c>
      <c r="L695" s="10">
        <v>999999</v>
      </c>
      <c r="M695" t="s">
        <v>4</v>
      </c>
      <c r="N695" t="str">
        <f>IF(ISBLANK(Table1[[#This Row],[Payment method]]),"Unknown",Table1[[#This Row],[Payment method]])</f>
        <v>Net Banking</v>
      </c>
      <c r="O695" t="s">
        <v>58</v>
      </c>
      <c r="P695" t="str">
        <f>IF(Table1[[#This Row],[Unit price]]&gt;2000,"High Price","Standard Price")</f>
        <v>High Price</v>
      </c>
    </row>
    <row r="696" spans="1:16" x14ac:dyDescent="0.3">
      <c r="A696" s="3">
        <v>10695</v>
      </c>
      <c r="B696" s="1">
        <v>45752</v>
      </c>
      <c r="C696" s="3" t="s">
        <v>25</v>
      </c>
      <c r="D696" s="3" t="s">
        <v>23</v>
      </c>
      <c r="E696" t="s">
        <v>45</v>
      </c>
      <c r="F696" t="s">
        <v>54</v>
      </c>
      <c r="G696" t="str">
        <f>IF(ISBLANK(Table1[[#This Row],[State]]),"Unknown",Table1[[#This Row],[State]])</f>
        <v>Uttar Pradesh</v>
      </c>
      <c r="H696" t="s">
        <v>9</v>
      </c>
      <c r="I696" t="s">
        <v>16</v>
      </c>
      <c r="J696" t="str">
        <f>IF(ISBLANK(Table1[[#This Row],[Product]]),"Unknown",Table1[[#This Row],[Product]])</f>
        <v>Lamp</v>
      </c>
      <c r="K696" s="3">
        <v>2</v>
      </c>
      <c r="L696" s="10">
        <v>1299</v>
      </c>
      <c r="M696" t="s">
        <v>26</v>
      </c>
      <c r="N696" t="str">
        <f>IF(ISBLANK(Table1[[#This Row],[Payment method]]),"Unknown",Table1[[#This Row],[Payment method]])</f>
        <v>Card</v>
      </c>
      <c r="O696" t="s">
        <v>5</v>
      </c>
      <c r="P696" t="str">
        <f>IF(Table1[[#This Row],[Unit price]]&gt;2000,"High Price","Standard Price")</f>
        <v>Standard Price</v>
      </c>
    </row>
    <row r="697" spans="1:16" x14ac:dyDescent="0.3">
      <c r="A697" s="3">
        <v>10696</v>
      </c>
      <c r="B697" s="1">
        <v>45836</v>
      </c>
      <c r="C697" s="3" t="s">
        <v>151</v>
      </c>
      <c r="D697" s="3" t="s">
        <v>14</v>
      </c>
      <c r="E697" t="s">
        <v>45</v>
      </c>
      <c r="F697" t="s">
        <v>54</v>
      </c>
      <c r="G697" t="str">
        <f>IF(ISBLANK(Table1[[#This Row],[State]]),"Unknown",Table1[[#This Row],[State]])</f>
        <v>Uttar Pradesh</v>
      </c>
      <c r="H697" t="s">
        <v>2</v>
      </c>
      <c r="I697" t="s">
        <v>24</v>
      </c>
      <c r="J697" t="str">
        <f>IF(ISBLANK(Table1[[#This Row],[Product]]),"Unknown",Table1[[#This Row],[Product]])</f>
        <v>Jeans</v>
      </c>
      <c r="K697" s="3">
        <v>3</v>
      </c>
      <c r="L697" s="10">
        <v>499</v>
      </c>
      <c r="M697" t="s">
        <v>11</v>
      </c>
      <c r="N697" t="str">
        <f>IF(ISBLANK(Table1[[#This Row],[Payment method]]),"Unknown",Table1[[#This Row],[Payment method]])</f>
        <v>Cash on Delivery</v>
      </c>
      <c r="O697" t="s">
        <v>5</v>
      </c>
      <c r="P697" t="str">
        <f>IF(Table1[[#This Row],[Unit price]]&gt;2000,"High Price","Standard Price")</f>
        <v>Standard Price</v>
      </c>
    </row>
    <row r="698" spans="1:16" x14ac:dyDescent="0.3">
      <c r="A698" s="3">
        <v>10697</v>
      </c>
      <c r="B698" s="1">
        <v>45688</v>
      </c>
      <c r="C698" s="3" t="s">
        <v>156</v>
      </c>
      <c r="D698" s="3" t="s">
        <v>1</v>
      </c>
      <c r="E698" t="s">
        <v>20</v>
      </c>
      <c r="F698" t="s">
        <v>20</v>
      </c>
      <c r="G698" t="str">
        <f>IF(ISBLANK(Table1[[#This Row],[State]]),"Unknown",Table1[[#This Row],[State]])</f>
        <v>Delhi</v>
      </c>
      <c r="H698" t="s">
        <v>2</v>
      </c>
      <c r="I698" t="s">
        <v>24</v>
      </c>
      <c r="J698" t="str">
        <f>IF(ISBLANK(Table1[[#This Row],[Product]]),"Unknown",Table1[[#This Row],[Product]])</f>
        <v>Jeans</v>
      </c>
      <c r="K698" s="3">
        <v>1</v>
      </c>
      <c r="L698" s="10">
        <v>1999</v>
      </c>
      <c r="M698" t="s">
        <v>11</v>
      </c>
      <c r="N698" t="str">
        <f>IF(ISBLANK(Table1[[#This Row],[Payment method]]),"Unknown",Table1[[#This Row],[Payment method]])</f>
        <v>Cash on Delivery</v>
      </c>
      <c r="O698" t="s">
        <v>58</v>
      </c>
      <c r="P698" t="str">
        <f>IF(Table1[[#This Row],[Unit price]]&gt;2000,"High Price","Standard Price")</f>
        <v>Standard Price</v>
      </c>
    </row>
    <row r="699" spans="1:16" x14ac:dyDescent="0.3">
      <c r="A699" s="3">
        <v>10698</v>
      </c>
      <c r="B699" s="1">
        <v>45739</v>
      </c>
      <c r="C699" s="3" t="s">
        <v>149</v>
      </c>
      <c r="D699" s="3" t="s">
        <v>43</v>
      </c>
      <c r="E699" t="s">
        <v>35</v>
      </c>
      <c r="F699" t="s">
        <v>15</v>
      </c>
      <c r="G699" t="str">
        <f>IF(ISBLANK(Table1[[#This Row],[State]]),"Unknown",Table1[[#This Row],[State]])</f>
        <v>Maharashtra</v>
      </c>
      <c r="H699" t="s">
        <v>33</v>
      </c>
      <c r="I699" t="s">
        <v>49</v>
      </c>
      <c r="J699" t="str">
        <f>IF(ISBLANK(Table1[[#This Row],[Product]]),"Unknown",Table1[[#This Row],[Product]])</f>
        <v>Keyboard</v>
      </c>
      <c r="K699" s="3">
        <v>3</v>
      </c>
      <c r="L699" s="10">
        <v>499</v>
      </c>
      <c r="N699" t="str">
        <f>IF(ISBLANK(Table1[[#This Row],[Payment method]]),"Unknown",Table1[[#This Row],[Payment method]])</f>
        <v>Unknown</v>
      </c>
      <c r="O699" t="s">
        <v>5</v>
      </c>
      <c r="P699" t="str">
        <f>IF(Table1[[#This Row],[Unit price]]&gt;2000,"High Price","Standard Price")</f>
        <v>Standard Price</v>
      </c>
    </row>
    <row r="700" spans="1:16" x14ac:dyDescent="0.3">
      <c r="A700" s="3">
        <v>10699</v>
      </c>
      <c r="B700" s="1">
        <v>45828</v>
      </c>
      <c r="C700" s="3" t="s">
        <v>205</v>
      </c>
      <c r="D700" s="3" t="s">
        <v>23</v>
      </c>
      <c r="E700" t="s">
        <v>249</v>
      </c>
      <c r="G700" t="str">
        <f>IF(ISBLANK(Table1[[#This Row],[State]]),"Unknown",Table1[[#This Row],[State]])</f>
        <v>Unknown</v>
      </c>
      <c r="H700" t="s">
        <v>2</v>
      </c>
      <c r="I700" t="s">
        <v>24</v>
      </c>
      <c r="J700" t="str">
        <f>IF(ISBLANK(Table1[[#This Row],[Product]]),"Unknown",Table1[[#This Row],[Product]])</f>
        <v>Jeans</v>
      </c>
      <c r="K700" s="3">
        <v>2</v>
      </c>
      <c r="L700" s="10">
        <v>799</v>
      </c>
      <c r="N700" t="str">
        <f>IF(ISBLANK(Table1[[#This Row],[Payment method]]),"Unknown",Table1[[#This Row],[Payment method]])</f>
        <v>Unknown</v>
      </c>
      <c r="O700" t="s">
        <v>58</v>
      </c>
      <c r="P700" t="str">
        <f>IF(Table1[[#This Row],[Unit price]]&gt;2000,"High Price","Standard Price")</f>
        <v>Standard Price</v>
      </c>
    </row>
    <row r="701" spans="1:16" x14ac:dyDescent="0.3">
      <c r="A701" s="3">
        <v>10700</v>
      </c>
      <c r="B701" s="1">
        <v>45788</v>
      </c>
      <c r="C701" s="3" t="s">
        <v>181</v>
      </c>
      <c r="D701" s="3" t="s">
        <v>7</v>
      </c>
      <c r="E701" t="s">
        <v>45</v>
      </c>
      <c r="F701" t="s">
        <v>54</v>
      </c>
      <c r="G701" t="str">
        <f>IF(ISBLANK(Table1[[#This Row],[State]]),"Unknown",Table1[[#This Row],[State]])</f>
        <v>Uttar Pradesh</v>
      </c>
      <c r="H701" t="s">
        <v>9</v>
      </c>
      <c r="I701" t="s">
        <v>10</v>
      </c>
      <c r="J701" t="str">
        <f>IF(ISBLANK(Table1[[#This Row],[Product]]),"Unknown",Table1[[#This Row],[Product]])</f>
        <v>Chair</v>
      </c>
      <c r="K701" s="3">
        <v>3</v>
      </c>
      <c r="L701" s="10">
        <v>1299</v>
      </c>
      <c r="M701" t="s">
        <v>11</v>
      </c>
      <c r="N701" t="str">
        <f>IF(ISBLANK(Table1[[#This Row],[Payment method]]),"Unknown",Table1[[#This Row],[Payment method]])</f>
        <v>Cash on Delivery</v>
      </c>
      <c r="O701" t="s">
        <v>58</v>
      </c>
      <c r="P701" t="str">
        <f>IF(Table1[[#This Row],[Unit price]]&gt;2000,"High Price","Standard Price")</f>
        <v>Standard Price</v>
      </c>
    </row>
    <row r="703" spans="1:16" x14ac:dyDescent="0.3">
      <c r="A703" s="3">
        <f>COUNTBLANK(Table1[Order ID])</f>
        <v>0</v>
      </c>
      <c r="B703">
        <f>COUNTBLANK(Table1[Order date])</f>
        <v>0</v>
      </c>
      <c r="C703" s="3">
        <f>COUNTBLANK(Table1[Customer ID])</f>
        <v>0</v>
      </c>
      <c r="D703" s="3">
        <f>COUNTBLANK(Table1[Customer Name])</f>
        <v>0</v>
      </c>
      <c r="E703">
        <f>COUNTBLANK(Table1[City])</f>
        <v>0</v>
      </c>
      <c r="F703">
        <f>COUNTBLANK(Table1[State])</f>
        <v>31</v>
      </c>
      <c r="H703">
        <f>COUNTBLANK(Table1[Category])</f>
        <v>0</v>
      </c>
      <c r="I703">
        <f>COUNTBLANK(Table1[Product])</f>
        <v>26</v>
      </c>
      <c r="K703" s="3">
        <f>COUNTBLANK(Table1[Quantity])</f>
        <v>0</v>
      </c>
      <c r="L703" s="3">
        <f>COUNTBLANK(Table1[Unit price])</f>
        <v>0</v>
      </c>
      <c r="M703">
        <f>COUNTBLANK(Table1[Payment method])</f>
        <v>297</v>
      </c>
      <c r="O703">
        <f>COUNTBLANK(Table1[Order status])</f>
        <v>0</v>
      </c>
    </row>
    <row r="704" spans="1:16" x14ac:dyDescent="0.3">
      <c r="B704"/>
      <c r="L704" s="3"/>
    </row>
    <row r="705" spans="1:14" x14ac:dyDescent="0.3">
      <c r="L705" s="3"/>
    </row>
    <row r="706" spans="1:14" x14ac:dyDescent="0.3">
      <c r="A706" s="14" t="s">
        <v>235</v>
      </c>
      <c r="B706" s="15" t="s">
        <v>245</v>
      </c>
      <c r="C706" s="14" t="s">
        <v>236</v>
      </c>
      <c r="D706" s="14" t="s">
        <v>237</v>
      </c>
      <c r="E706" s="14" t="s">
        <v>238</v>
      </c>
      <c r="F706" s="14" t="s">
        <v>239</v>
      </c>
      <c r="L706" s="3"/>
      <c r="M706" s="7" t="s">
        <v>254</v>
      </c>
      <c r="N706" s="6">
        <f>SUM(Table1[Quantity])</f>
        <v>5081</v>
      </c>
    </row>
    <row r="707" spans="1:14" x14ac:dyDescent="0.3">
      <c r="A707" s="12">
        <v>10001</v>
      </c>
      <c r="B707" s="1">
        <f t="shared" ref="B707:F712" si="0">VLOOKUP(A707,A2:F26,2,FALSE)</f>
        <v>45662</v>
      </c>
      <c r="C707" s="1" t="str">
        <f t="shared" si="0"/>
        <v>C1200</v>
      </c>
      <c r="D707" s="1" t="str">
        <f t="shared" si="0"/>
        <v>Sneha</v>
      </c>
      <c r="E707" s="1" t="str">
        <f t="shared" si="0"/>
        <v>Delhi</v>
      </c>
      <c r="F707" s="1" t="str">
        <f t="shared" si="0"/>
        <v>Delhi</v>
      </c>
      <c r="L707" s="3"/>
      <c r="M707" s="7" t="s">
        <v>253</v>
      </c>
      <c r="N707" s="8">
        <f>AVERAGE(Table1[Unit price])</f>
        <v>13830.432857142858</v>
      </c>
    </row>
    <row r="708" spans="1:14" x14ac:dyDescent="0.3">
      <c r="A708" s="13">
        <v>10002</v>
      </c>
      <c r="B708" s="1">
        <f t="shared" si="0"/>
        <v>45809</v>
      </c>
      <c r="C708" s="1" t="str">
        <f t="shared" si="0"/>
        <v>C1100</v>
      </c>
      <c r="D708" s="1" t="str">
        <f t="shared" si="0"/>
        <v>Neha</v>
      </c>
      <c r="E708" s="1" t="str">
        <f t="shared" si="0"/>
        <v>Bangalore</v>
      </c>
      <c r="F708" s="1" t="str">
        <f t="shared" si="0"/>
        <v>Karnataka</v>
      </c>
      <c r="L708" s="3"/>
      <c r="M708" s="7" t="s">
        <v>255</v>
      </c>
      <c r="N708" s="8">
        <f>MIN(Table1[Unit price])</f>
        <v>-100</v>
      </c>
    </row>
    <row r="709" spans="1:14" x14ac:dyDescent="0.3">
      <c r="A709" s="12">
        <v>10003</v>
      </c>
      <c r="B709" s="1">
        <f t="shared" si="0"/>
        <v>45673</v>
      </c>
      <c r="C709" s="1" t="str">
        <f t="shared" si="0"/>
        <v>C1125</v>
      </c>
      <c r="D709" s="1" t="str">
        <f t="shared" si="0"/>
        <v>Priya</v>
      </c>
      <c r="E709" s="1" t="str">
        <f t="shared" si="0"/>
        <v>Mumbai</v>
      </c>
      <c r="F709" s="1" t="str">
        <f t="shared" si="0"/>
        <v>Maharashtra</v>
      </c>
      <c r="L709" s="3"/>
      <c r="M709" s="7" t="s">
        <v>256</v>
      </c>
      <c r="N709" s="8">
        <f>MAX(Table1[Unit price])</f>
        <v>999999</v>
      </c>
    </row>
    <row r="710" spans="1:14" x14ac:dyDescent="0.3">
      <c r="A710" s="13">
        <v>10004</v>
      </c>
      <c r="B710" s="1">
        <f t="shared" si="0"/>
        <v>45787</v>
      </c>
      <c r="C710" s="1" t="str">
        <f t="shared" si="0"/>
        <v>C1128</v>
      </c>
      <c r="D710" s="1" t="str">
        <f t="shared" si="0"/>
        <v>Karan</v>
      </c>
      <c r="E710" s="1" t="str">
        <f t="shared" si="0"/>
        <v>Delhi</v>
      </c>
      <c r="F710" s="1" t="str">
        <f t="shared" si="0"/>
        <v>Delhi</v>
      </c>
      <c r="L710" s="3"/>
    </row>
    <row r="711" spans="1:14" x14ac:dyDescent="0.3">
      <c r="A711" s="12">
        <v>10005</v>
      </c>
      <c r="B711" s="1">
        <f t="shared" si="0"/>
        <v>45792</v>
      </c>
      <c r="C711" s="1" t="str">
        <f t="shared" si="0"/>
        <v>C1040</v>
      </c>
      <c r="D711" s="1" t="str">
        <f t="shared" si="0"/>
        <v>Amit</v>
      </c>
      <c r="E711" s="1" t="str">
        <f t="shared" si="0"/>
        <v>Mumbai</v>
      </c>
      <c r="F711" s="1" t="str">
        <f t="shared" si="0"/>
        <v>Maharashtra</v>
      </c>
      <c r="L711" s="3"/>
      <c r="M711" s="6" t="s">
        <v>258</v>
      </c>
      <c r="N711" s="11">
        <f>AVERAGE(Table1[Quantity])</f>
        <v>7.2585714285714289</v>
      </c>
    </row>
    <row r="712" spans="1:14" x14ac:dyDescent="0.3">
      <c r="A712" s="13">
        <v>10006</v>
      </c>
      <c r="B712" s="1">
        <f t="shared" si="0"/>
        <v>45738</v>
      </c>
      <c r="C712" s="1" t="str">
        <f t="shared" si="0"/>
        <v>C1095</v>
      </c>
      <c r="D712" s="1" t="str">
        <f t="shared" si="0"/>
        <v>Karan</v>
      </c>
      <c r="E712" s="1" t="str">
        <f t="shared" si="0"/>
        <v>Delhi</v>
      </c>
      <c r="F712" s="1" t="str">
        <f t="shared" si="0"/>
        <v>Delhi</v>
      </c>
      <c r="L712" s="3"/>
      <c r="M712" s="6" t="s">
        <v>259</v>
      </c>
      <c r="N712" s="6">
        <f>MEDIAN(Table1[Quantity])</f>
        <v>3</v>
      </c>
    </row>
    <row r="713" spans="1:14" x14ac:dyDescent="0.3">
      <c r="A713" s="12">
        <v>10007</v>
      </c>
      <c r="B713" s="1" t="str">
        <f t="shared" ref="B713:B731" si="1">VLOOKUP(A713,A8:F32,2,FALSE)</f>
        <v>02/18/2025</v>
      </c>
      <c r="C713" s="1" t="str">
        <f t="shared" ref="C713:C731" si="2">VLOOKUP(B713,B8:G32,2,FALSE)</f>
        <v>C1068</v>
      </c>
      <c r="D713" s="1" t="str">
        <f t="shared" ref="D713:D731" si="3">VLOOKUP(C713,C8:H32,2,FALSE)</f>
        <v>Karan</v>
      </c>
      <c r="E713" s="1" t="str">
        <f t="shared" ref="E713:E731" si="4">VLOOKUP(D713,D8:I32,2,FALSE)</f>
        <v>Delhi</v>
      </c>
      <c r="F713" s="1"/>
      <c r="L713" s="3"/>
      <c r="M713" s="6" t="s">
        <v>260</v>
      </c>
      <c r="N713" s="6">
        <f>MODE(K2:K701)</f>
        <v>4</v>
      </c>
    </row>
    <row r="714" spans="1:14" x14ac:dyDescent="0.3">
      <c r="A714" s="13">
        <v>10008</v>
      </c>
      <c r="B714" s="1">
        <f t="shared" si="1"/>
        <v>45737</v>
      </c>
      <c r="C714" s="1" t="str">
        <f t="shared" si="2"/>
        <v>C1198</v>
      </c>
      <c r="D714" s="1" t="str">
        <f t="shared" si="3"/>
        <v>Karan</v>
      </c>
      <c r="E714" s="1" t="str">
        <f t="shared" si="4"/>
        <v>Bangalore</v>
      </c>
      <c r="F714" s="1" t="str">
        <f>VLOOKUP(E714,E9:J33,2,FALSE)</f>
        <v>Karnataka</v>
      </c>
      <c r="L714" s="3"/>
      <c r="M714" s="6" t="s">
        <v>262</v>
      </c>
      <c r="N714" s="11">
        <f>STDEV(K2:K701)</f>
        <v>65.126730188769102</v>
      </c>
    </row>
    <row r="715" spans="1:14" x14ac:dyDescent="0.3">
      <c r="A715" s="12">
        <v>10009</v>
      </c>
      <c r="B715" s="1">
        <f t="shared" si="1"/>
        <v>45831</v>
      </c>
      <c r="C715" s="1" t="str">
        <f t="shared" si="2"/>
        <v>C1084</v>
      </c>
      <c r="D715" s="1" t="str">
        <f t="shared" si="3"/>
        <v>Priya</v>
      </c>
      <c r="E715" s="1" t="str">
        <f t="shared" si="4"/>
        <v>Mumbai</v>
      </c>
      <c r="F715" s="1"/>
      <c r="L715" s="3"/>
    </row>
    <row r="716" spans="1:14" x14ac:dyDescent="0.3">
      <c r="A716" s="13">
        <v>10010</v>
      </c>
      <c r="B716" s="1">
        <f t="shared" si="1"/>
        <v>45703</v>
      </c>
      <c r="C716" s="1" t="str">
        <f t="shared" si="2"/>
        <v>C1015</v>
      </c>
      <c r="D716" s="1" t="str">
        <f t="shared" si="3"/>
        <v>Sneha</v>
      </c>
      <c r="E716" s="1" t="str">
        <f t="shared" si="4"/>
        <v>Mumbai</v>
      </c>
      <c r="F716" s="1" t="str">
        <f t="shared" ref="F716:F731" si="5">VLOOKUP(E716,E11:J35,2,FALSE)</f>
        <v>Maharashtra</v>
      </c>
      <c r="L716" s="3"/>
    </row>
    <row r="717" spans="1:14" x14ac:dyDescent="0.3">
      <c r="A717" s="12">
        <v>10011</v>
      </c>
      <c r="B717" s="1">
        <f t="shared" si="1"/>
        <v>45755</v>
      </c>
      <c r="C717" s="1" t="str">
        <f t="shared" si="2"/>
        <v>C1184</v>
      </c>
      <c r="D717" s="1" t="str">
        <f t="shared" si="3"/>
        <v>Sneha</v>
      </c>
      <c r="E717" s="1" t="str">
        <f t="shared" si="4"/>
        <v>Pune</v>
      </c>
      <c r="F717" s="1" t="str">
        <f t="shared" si="5"/>
        <v>Maharastra</v>
      </c>
      <c r="L717" s="3"/>
    </row>
    <row r="718" spans="1:14" x14ac:dyDescent="0.3">
      <c r="A718" s="13">
        <v>10012</v>
      </c>
      <c r="B718" s="1">
        <f t="shared" si="1"/>
        <v>45775</v>
      </c>
      <c r="C718" s="1" t="str">
        <f t="shared" si="2"/>
        <v>C1137</v>
      </c>
      <c r="D718" s="1" t="str">
        <f t="shared" si="3"/>
        <v>Anjali</v>
      </c>
      <c r="E718" s="1" t="str">
        <f t="shared" si="4"/>
        <v>Pune</v>
      </c>
      <c r="F718" s="1" t="str">
        <f t="shared" si="5"/>
        <v>Maharastra</v>
      </c>
      <c r="L718" s="3"/>
    </row>
    <row r="719" spans="1:14" x14ac:dyDescent="0.3">
      <c r="A719" s="12">
        <v>10013</v>
      </c>
      <c r="B719" s="1">
        <f t="shared" si="1"/>
        <v>45738</v>
      </c>
      <c r="C719" s="1" t="str">
        <f t="shared" si="2"/>
        <v>C1022</v>
      </c>
      <c r="D719" s="1" t="str">
        <f t="shared" si="3"/>
        <v>Neha</v>
      </c>
      <c r="E719" s="1" t="str">
        <f t="shared" si="4"/>
        <v>Delhi</v>
      </c>
      <c r="F719" s="1" t="str">
        <f t="shared" si="5"/>
        <v>Delhi</v>
      </c>
      <c r="L719" s="3"/>
    </row>
    <row r="720" spans="1:14" x14ac:dyDescent="0.3">
      <c r="A720" s="13">
        <v>10014</v>
      </c>
      <c r="B720" s="1">
        <f t="shared" si="1"/>
        <v>45714</v>
      </c>
      <c r="C720" s="1" t="str">
        <f t="shared" si="2"/>
        <v>C1156</v>
      </c>
      <c r="D720" s="1" t="str">
        <f t="shared" si="3"/>
        <v>Neha</v>
      </c>
      <c r="E720" s="1" t="str">
        <f t="shared" si="4"/>
        <v xml:space="preserve">Bangalore </v>
      </c>
      <c r="F720" s="1" t="str">
        <f t="shared" si="5"/>
        <v>Karnataka</v>
      </c>
      <c r="L720" s="3"/>
    </row>
    <row r="721" spans="1:12" x14ac:dyDescent="0.3">
      <c r="A721" s="12">
        <v>10015</v>
      </c>
      <c r="B721" s="1">
        <f t="shared" si="1"/>
        <v>45758</v>
      </c>
      <c r="C721" s="1" t="str">
        <f t="shared" si="2"/>
        <v>C1127</v>
      </c>
      <c r="D721" s="1" t="str">
        <f t="shared" si="3"/>
        <v>Rahul</v>
      </c>
      <c r="E721" s="1" t="str">
        <f t="shared" si="4"/>
        <v>Lucknow</v>
      </c>
      <c r="F721" s="1" t="str">
        <f t="shared" si="5"/>
        <v>Uttar Pradesh</v>
      </c>
      <c r="L721" s="3"/>
    </row>
    <row r="722" spans="1:12" x14ac:dyDescent="0.3">
      <c r="A722" s="13">
        <v>10016</v>
      </c>
      <c r="B722" s="1">
        <f t="shared" si="1"/>
        <v>45702</v>
      </c>
      <c r="C722" s="1" t="str">
        <f t="shared" si="2"/>
        <v>C1097</v>
      </c>
      <c r="D722" s="1" t="str">
        <f t="shared" si="3"/>
        <v>Amit</v>
      </c>
      <c r="E722" s="1" t="str">
        <f t="shared" si="4"/>
        <v>Lucknow</v>
      </c>
      <c r="F722" s="1" t="str">
        <f t="shared" si="5"/>
        <v>Uttar Pradesh</v>
      </c>
      <c r="L722" s="3"/>
    </row>
    <row r="723" spans="1:12" x14ac:dyDescent="0.3">
      <c r="A723" s="12">
        <v>10017</v>
      </c>
      <c r="B723" s="1">
        <f t="shared" si="1"/>
        <v>45728</v>
      </c>
      <c r="C723" s="1" t="str">
        <f t="shared" si="2"/>
        <v>C1179</v>
      </c>
      <c r="D723" s="1" t="str">
        <f t="shared" si="3"/>
        <v>Amit</v>
      </c>
      <c r="E723" s="1" t="str">
        <f t="shared" si="4"/>
        <v>Lucknow</v>
      </c>
      <c r="F723" s="1" t="str">
        <f t="shared" si="5"/>
        <v>Uttar Pradesh</v>
      </c>
      <c r="L723" s="3"/>
    </row>
    <row r="724" spans="1:12" x14ac:dyDescent="0.3">
      <c r="A724" s="13">
        <v>10018</v>
      </c>
      <c r="B724" s="1">
        <f t="shared" si="1"/>
        <v>45810</v>
      </c>
      <c r="C724" s="1" t="str">
        <f t="shared" si="2"/>
        <v>C1097</v>
      </c>
      <c r="D724" s="1" t="str">
        <f t="shared" si="3"/>
        <v>Priya</v>
      </c>
      <c r="E724" s="1" t="str">
        <f t="shared" si="4"/>
        <v>Mumbai</v>
      </c>
      <c r="F724" s="1" t="str">
        <f t="shared" si="5"/>
        <v>Maharashtra</v>
      </c>
      <c r="L724" s="3"/>
    </row>
    <row r="725" spans="1:12" x14ac:dyDescent="0.3">
      <c r="A725" s="12">
        <v>10019</v>
      </c>
      <c r="B725" s="1">
        <f t="shared" si="1"/>
        <v>45745</v>
      </c>
      <c r="C725" s="1" t="str">
        <f t="shared" si="2"/>
        <v>C1168</v>
      </c>
      <c r="D725" s="1" t="str">
        <f t="shared" si="3"/>
        <v>Neha</v>
      </c>
      <c r="E725" s="1" t="str">
        <f t="shared" si="4"/>
        <v>Bangalore</v>
      </c>
      <c r="F725" s="1" t="str">
        <f t="shared" si="5"/>
        <v>Karnataka</v>
      </c>
      <c r="L725" s="3"/>
    </row>
    <row r="726" spans="1:12" x14ac:dyDescent="0.3">
      <c r="A726" s="13">
        <v>10020</v>
      </c>
      <c r="B726" s="1">
        <f t="shared" si="1"/>
        <v>45727</v>
      </c>
      <c r="C726" s="1" t="str">
        <f t="shared" si="2"/>
        <v>C1194</v>
      </c>
      <c r="D726" s="1" t="str">
        <f t="shared" si="3"/>
        <v>Rahul</v>
      </c>
      <c r="E726" s="1" t="str">
        <f t="shared" si="4"/>
        <v>Lucknow</v>
      </c>
      <c r="F726" s="1" t="str">
        <f t="shared" si="5"/>
        <v>Uttar Pradesh</v>
      </c>
      <c r="L726" s="3"/>
    </row>
    <row r="727" spans="1:12" x14ac:dyDescent="0.3">
      <c r="A727" s="12">
        <v>10021</v>
      </c>
      <c r="B727" s="1">
        <f t="shared" si="1"/>
        <v>45839</v>
      </c>
      <c r="C727" s="1" t="str">
        <f t="shared" si="2"/>
        <v>C1053</v>
      </c>
      <c r="D727" s="1" t="str">
        <f t="shared" si="3"/>
        <v>Karan</v>
      </c>
      <c r="E727" s="1" t="str">
        <f t="shared" si="4"/>
        <v>Lucknow</v>
      </c>
      <c r="F727" s="1" t="str">
        <f t="shared" si="5"/>
        <v>Uttar Pradesh</v>
      </c>
      <c r="L727" s="3"/>
    </row>
    <row r="728" spans="1:12" x14ac:dyDescent="0.3">
      <c r="A728" s="13">
        <v>10022</v>
      </c>
      <c r="B728" s="1">
        <f t="shared" si="1"/>
        <v>45729</v>
      </c>
      <c r="C728" s="1" t="str">
        <f t="shared" si="2"/>
        <v>C1051</v>
      </c>
      <c r="D728" s="1" t="str">
        <f t="shared" si="3"/>
        <v>Sneha</v>
      </c>
      <c r="E728" s="1" t="str">
        <f t="shared" si="4"/>
        <v>Bangalore</v>
      </c>
      <c r="F728" s="1" t="str">
        <f t="shared" si="5"/>
        <v>Karnataka</v>
      </c>
      <c r="L728" s="3"/>
    </row>
    <row r="729" spans="1:12" x14ac:dyDescent="0.3">
      <c r="A729" s="12">
        <v>10023</v>
      </c>
      <c r="B729" s="1">
        <f t="shared" si="1"/>
        <v>45801</v>
      </c>
      <c r="C729" s="1" t="str">
        <f t="shared" si="2"/>
        <v>C1111</v>
      </c>
      <c r="D729" s="1" t="str">
        <f t="shared" si="3"/>
        <v>Priya</v>
      </c>
      <c r="E729" s="1" t="str">
        <f t="shared" si="4"/>
        <v>Lucknow</v>
      </c>
      <c r="F729" s="1" t="str">
        <f t="shared" si="5"/>
        <v>Uttar Pradesh</v>
      </c>
      <c r="L729" s="3"/>
    </row>
    <row r="730" spans="1:12" x14ac:dyDescent="0.3">
      <c r="A730" s="13">
        <v>10024</v>
      </c>
      <c r="B730" s="1">
        <f t="shared" si="1"/>
        <v>45733</v>
      </c>
      <c r="C730" s="1" t="str">
        <f t="shared" si="2"/>
        <v>C1162</v>
      </c>
      <c r="D730" s="1" t="str">
        <f t="shared" si="3"/>
        <v>Rahul</v>
      </c>
      <c r="E730" s="1" t="str">
        <f t="shared" si="4"/>
        <v>Delhi</v>
      </c>
      <c r="F730" s="1" t="str">
        <f t="shared" si="5"/>
        <v>Delhi</v>
      </c>
      <c r="L730" s="3"/>
    </row>
    <row r="731" spans="1:12" x14ac:dyDescent="0.3">
      <c r="A731" s="12">
        <v>10025</v>
      </c>
      <c r="B731" s="1">
        <f t="shared" si="1"/>
        <v>45732</v>
      </c>
      <c r="C731" s="1" t="str">
        <f t="shared" si="2"/>
        <v>C1031</v>
      </c>
      <c r="D731" s="1" t="str">
        <f t="shared" si="3"/>
        <v>Vikram</v>
      </c>
      <c r="E731" s="1" t="str">
        <f t="shared" si="4"/>
        <v>Bangalore</v>
      </c>
      <c r="F731" s="1" t="str">
        <f t="shared" si="5"/>
        <v>Karnataka</v>
      </c>
      <c r="L731" s="3"/>
    </row>
    <row r="732" spans="1:12" x14ac:dyDescent="0.3">
      <c r="L732" s="3"/>
    </row>
    <row r="733" spans="1:12" x14ac:dyDescent="0.3">
      <c r="L733" s="3"/>
    </row>
    <row r="734" spans="1:12" x14ac:dyDescent="0.3">
      <c r="L734" s="3"/>
    </row>
    <row r="735" spans="1:12" x14ac:dyDescent="0.3">
      <c r="L735" s="3"/>
    </row>
    <row r="736" spans="1:12" x14ac:dyDescent="0.3">
      <c r="L736" s="3"/>
    </row>
    <row r="737" spans="12:12" x14ac:dyDescent="0.3">
      <c r="L737" s="3"/>
    </row>
    <row r="738" spans="12:12" x14ac:dyDescent="0.3">
      <c r="L738" s="3"/>
    </row>
    <row r="739" spans="12:12" x14ac:dyDescent="0.3">
      <c r="L739" s="3"/>
    </row>
    <row r="740" spans="12:12" x14ac:dyDescent="0.3">
      <c r="L740" s="3"/>
    </row>
    <row r="741" spans="12:12" x14ac:dyDescent="0.3">
      <c r="L741" s="3"/>
    </row>
    <row r="742" spans="12:12" x14ac:dyDescent="0.3">
      <c r="L742" s="3"/>
    </row>
    <row r="743" spans="12:12" x14ac:dyDescent="0.3">
      <c r="L743" s="3"/>
    </row>
    <row r="744" spans="12:12" x14ac:dyDescent="0.3">
      <c r="L744" s="3"/>
    </row>
    <row r="745" spans="12:12" x14ac:dyDescent="0.3">
      <c r="L745" s="3"/>
    </row>
    <row r="746" spans="12:12" x14ac:dyDescent="0.3">
      <c r="L746" s="3"/>
    </row>
    <row r="747" spans="12:12" x14ac:dyDescent="0.3">
      <c r="L747" s="3"/>
    </row>
    <row r="748" spans="12:12" x14ac:dyDescent="0.3">
      <c r="L748" s="3"/>
    </row>
    <row r="749" spans="12:12" x14ac:dyDescent="0.3">
      <c r="L749" s="3"/>
    </row>
    <row r="750" spans="12:12" x14ac:dyDescent="0.3">
      <c r="L750" s="3"/>
    </row>
    <row r="751" spans="12:12" x14ac:dyDescent="0.3">
      <c r="L751" s="3"/>
    </row>
    <row r="752" spans="12:12" x14ac:dyDescent="0.3">
      <c r="L752" s="3"/>
    </row>
    <row r="753" spans="12:12" x14ac:dyDescent="0.3">
      <c r="L753" s="3"/>
    </row>
    <row r="754" spans="12:12" x14ac:dyDescent="0.3">
      <c r="L754" s="3"/>
    </row>
    <row r="755" spans="12:12" x14ac:dyDescent="0.3">
      <c r="L755" s="3"/>
    </row>
    <row r="756" spans="12:12" x14ac:dyDescent="0.3">
      <c r="L756" s="3"/>
    </row>
    <row r="757" spans="12:12" x14ac:dyDescent="0.3">
      <c r="L757" s="3"/>
    </row>
    <row r="758" spans="12:12" x14ac:dyDescent="0.3">
      <c r="L758" s="3"/>
    </row>
    <row r="759" spans="12:12" x14ac:dyDescent="0.3">
      <c r="L759" s="3"/>
    </row>
    <row r="760" spans="12:12" x14ac:dyDescent="0.3">
      <c r="L760" s="3"/>
    </row>
    <row r="761" spans="12:12" x14ac:dyDescent="0.3">
      <c r="L761" s="3"/>
    </row>
    <row r="762" spans="12:12" x14ac:dyDescent="0.3">
      <c r="L762" s="3"/>
    </row>
    <row r="763" spans="12:12" x14ac:dyDescent="0.3">
      <c r="L763" s="3"/>
    </row>
    <row r="764" spans="12:12" x14ac:dyDescent="0.3">
      <c r="L764" s="3"/>
    </row>
    <row r="765" spans="12:12" x14ac:dyDescent="0.3">
      <c r="L765" s="3"/>
    </row>
    <row r="766" spans="12:12" x14ac:dyDescent="0.3">
      <c r="L766" s="3"/>
    </row>
    <row r="767" spans="12:12" x14ac:dyDescent="0.3">
      <c r="L767" s="3"/>
    </row>
    <row r="768" spans="12:12" x14ac:dyDescent="0.3">
      <c r="L768" s="3"/>
    </row>
    <row r="769" spans="12:12" x14ac:dyDescent="0.3">
      <c r="L769" s="3"/>
    </row>
    <row r="770" spans="12:12" x14ac:dyDescent="0.3">
      <c r="L770" s="3"/>
    </row>
    <row r="771" spans="12:12" x14ac:dyDescent="0.3">
      <c r="L771" s="3"/>
    </row>
    <row r="772" spans="12:12" x14ac:dyDescent="0.3">
      <c r="L772" s="3"/>
    </row>
    <row r="773" spans="12:12" x14ac:dyDescent="0.3">
      <c r="L773" s="3"/>
    </row>
    <row r="774" spans="12:12" x14ac:dyDescent="0.3">
      <c r="L774" s="3"/>
    </row>
    <row r="775" spans="12:12" x14ac:dyDescent="0.3">
      <c r="L775" s="3"/>
    </row>
    <row r="776" spans="12:12" x14ac:dyDescent="0.3">
      <c r="L776" s="3"/>
    </row>
    <row r="777" spans="12:12" x14ac:dyDescent="0.3">
      <c r="L777" s="3"/>
    </row>
    <row r="778" spans="12:12" x14ac:dyDescent="0.3">
      <c r="L778" s="3"/>
    </row>
    <row r="779" spans="12:12" x14ac:dyDescent="0.3">
      <c r="L779" s="3"/>
    </row>
    <row r="780" spans="12:12" x14ac:dyDescent="0.3">
      <c r="L780" s="3"/>
    </row>
    <row r="781" spans="12:12" x14ac:dyDescent="0.3">
      <c r="L781" s="3"/>
    </row>
    <row r="782" spans="12:12" x14ac:dyDescent="0.3">
      <c r="L782" s="3"/>
    </row>
    <row r="783" spans="12:12" x14ac:dyDescent="0.3">
      <c r="L783" s="3"/>
    </row>
    <row r="784" spans="12:12" x14ac:dyDescent="0.3">
      <c r="L784" s="3"/>
    </row>
    <row r="785" spans="12:12" x14ac:dyDescent="0.3">
      <c r="L785" s="3"/>
    </row>
    <row r="786" spans="12:12" x14ac:dyDescent="0.3">
      <c r="L786" s="3"/>
    </row>
    <row r="787" spans="12:12" x14ac:dyDescent="0.3">
      <c r="L787" s="3"/>
    </row>
    <row r="788" spans="12:12" x14ac:dyDescent="0.3">
      <c r="L788" s="3"/>
    </row>
    <row r="789" spans="12:12" x14ac:dyDescent="0.3">
      <c r="L789" s="3"/>
    </row>
    <row r="790" spans="12:12" x14ac:dyDescent="0.3">
      <c r="L790" s="3"/>
    </row>
    <row r="791" spans="12:12" x14ac:dyDescent="0.3">
      <c r="L791" s="3"/>
    </row>
    <row r="792" spans="12:12" x14ac:dyDescent="0.3">
      <c r="L792" s="3"/>
    </row>
    <row r="793" spans="12:12" x14ac:dyDescent="0.3">
      <c r="L793" s="3"/>
    </row>
    <row r="794" spans="12:12" x14ac:dyDescent="0.3">
      <c r="L794" s="3"/>
    </row>
    <row r="795" spans="12:12" x14ac:dyDescent="0.3">
      <c r="L795" s="3"/>
    </row>
    <row r="796" spans="12:12" x14ac:dyDescent="0.3">
      <c r="L796" s="3"/>
    </row>
    <row r="797" spans="12:12" x14ac:dyDescent="0.3">
      <c r="L797" s="3"/>
    </row>
    <row r="798" spans="12:12" x14ac:dyDescent="0.3">
      <c r="L798" s="3"/>
    </row>
    <row r="799" spans="12:12" x14ac:dyDescent="0.3">
      <c r="L799" s="3"/>
    </row>
    <row r="800" spans="12:12" x14ac:dyDescent="0.3">
      <c r="L800" s="3"/>
    </row>
    <row r="801" spans="12:12" x14ac:dyDescent="0.3">
      <c r="L801" s="3"/>
    </row>
    <row r="802" spans="12:12" x14ac:dyDescent="0.3">
      <c r="L802" s="3"/>
    </row>
    <row r="803" spans="12:12" x14ac:dyDescent="0.3">
      <c r="L803" s="3"/>
    </row>
    <row r="804" spans="12:12" x14ac:dyDescent="0.3">
      <c r="L804" s="3"/>
    </row>
    <row r="805" spans="12:12" x14ac:dyDescent="0.3">
      <c r="L805" s="3"/>
    </row>
    <row r="806" spans="12:12" x14ac:dyDescent="0.3">
      <c r="L806" s="3"/>
    </row>
    <row r="807" spans="12:12" x14ac:dyDescent="0.3">
      <c r="L807" s="3"/>
    </row>
    <row r="808" spans="12:12" x14ac:dyDescent="0.3">
      <c r="L808" s="3"/>
    </row>
    <row r="809" spans="12:12" x14ac:dyDescent="0.3">
      <c r="L809" s="3"/>
    </row>
    <row r="810" spans="12:12" x14ac:dyDescent="0.3">
      <c r="L810" s="3"/>
    </row>
    <row r="811" spans="12:12" x14ac:dyDescent="0.3">
      <c r="L811" s="3"/>
    </row>
    <row r="812" spans="12:12" x14ac:dyDescent="0.3">
      <c r="L812" s="3"/>
    </row>
    <row r="813" spans="12:12" x14ac:dyDescent="0.3">
      <c r="L813" s="3"/>
    </row>
    <row r="814" spans="12:12" x14ac:dyDescent="0.3">
      <c r="L814" s="3"/>
    </row>
    <row r="815" spans="12:12" x14ac:dyDescent="0.3">
      <c r="L815" s="3"/>
    </row>
    <row r="816" spans="12:12" x14ac:dyDescent="0.3">
      <c r="L816" s="3"/>
    </row>
    <row r="817" spans="12:12" x14ac:dyDescent="0.3">
      <c r="L817" s="3"/>
    </row>
    <row r="818" spans="12:12" x14ac:dyDescent="0.3">
      <c r="L818" s="3"/>
    </row>
    <row r="819" spans="12:12" x14ac:dyDescent="0.3">
      <c r="L819" s="3"/>
    </row>
    <row r="820" spans="12:12" x14ac:dyDescent="0.3">
      <c r="L820" s="3"/>
    </row>
    <row r="821" spans="12:12" x14ac:dyDescent="0.3">
      <c r="L821" s="3"/>
    </row>
    <row r="822" spans="12:12" x14ac:dyDescent="0.3">
      <c r="L822" s="3"/>
    </row>
    <row r="823" spans="12:12" x14ac:dyDescent="0.3">
      <c r="L823" s="3"/>
    </row>
    <row r="824" spans="12:12" x14ac:dyDescent="0.3">
      <c r="L824" s="3"/>
    </row>
    <row r="825" spans="12:12" x14ac:dyDescent="0.3">
      <c r="L825" s="3"/>
    </row>
    <row r="826" spans="12:12" x14ac:dyDescent="0.3">
      <c r="L826" s="3"/>
    </row>
    <row r="827" spans="12:12" x14ac:dyDescent="0.3">
      <c r="L827" s="3"/>
    </row>
    <row r="828" spans="12:12" x14ac:dyDescent="0.3">
      <c r="L828" s="3"/>
    </row>
    <row r="829" spans="12:12" x14ac:dyDescent="0.3">
      <c r="L829" s="3"/>
    </row>
    <row r="830" spans="12:12" x14ac:dyDescent="0.3">
      <c r="L830" s="3"/>
    </row>
    <row r="831" spans="12:12" x14ac:dyDescent="0.3">
      <c r="L831" s="3"/>
    </row>
    <row r="832" spans="12:12" x14ac:dyDescent="0.3">
      <c r="L832" s="3"/>
    </row>
    <row r="833" spans="12:12" x14ac:dyDescent="0.3">
      <c r="L833" s="3"/>
    </row>
    <row r="834" spans="12:12" x14ac:dyDescent="0.3">
      <c r="L834" s="3"/>
    </row>
    <row r="835" spans="12:12" x14ac:dyDescent="0.3">
      <c r="L835" s="3"/>
    </row>
    <row r="836" spans="12:12" x14ac:dyDescent="0.3">
      <c r="L836" s="3"/>
    </row>
    <row r="837" spans="12:12" x14ac:dyDescent="0.3">
      <c r="L837" s="3"/>
    </row>
    <row r="838" spans="12:12" x14ac:dyDescent="0.3">
      <c r="L838" s="3"/>
    </row>
    <row r="839" spans="12:12" x14ac:dyDescent="0.3">
      <c r="L839" s="3"/>
    </row>
    <row r="840" spans="12:12" x14ac:dyDescent="0.3">
      <c r="L840" s="3"/>
    </row>
    <row r="841" spans="12:12" x14ac:dyDescent="0.3">
      <c r="L841" s="3"/>
    </row>
    <row r="842" spans="12:12" x14ac:dyDescent="0.3">
      <c r="L842" s="3"/>
    </row>
    <row r="843" spans="12:12" x14ac:dyDescent="0.3">
      <c r="L843" s="3"/>
    </row>
    <row r="844" spans="12:12" x14ac:dyDescent="0.3">
      <c r="L844" s="3"/>
    </row>
    <row r="845" spans="12:12" x14ac:dyDescent="0.3">
      <c r="L845" s="3"/>
    </row>
    <row r="846" spans="12:12" x14ac:dyDescent="0.3">
      <c r="L846" s="3"/>
    </row>
    <row r="847" spans="12:12" x14ac:dyDescent="0.3">
      <c r="L847" s="3"/>
    </row>
    <row r="848" spans="12:12" x14ac:dyDescent="0.3">
      <c r="L848" s="3"/>
    </row>
    <row r="849" spans="12:12" x14ac:dyDescent="0.3">
      <c r="L849" s="3"/>
    </row>
    <row r="850" spans="12:12" x14ac:dyDescent="0.3">
      <c r="L850" s="3"/>
    </row>
    <row r="851" spans="12:12" x14ac:dyDescent="0.3">
      <c r="L851" s="3"/>
    </row>
    <row r="852" spans="12:12" x14ac:dyDescent="0.3">
      <c r="L852" s="3"/>
    </row>
    <row r="853" spans="12:12" x14ac:dyDescent="0.3">
      <c r="L853" s="3"/>
    </row>
    <row r="854" spans="12:12" x14ac:dyDescent="0.3">
      <c r="L854" s="3"/>
    </row>
    <row r="855" spans="12:12" x14ac:dyDescent="0.3">
      <c r="L855" s="3"/>
    </row>
    <row r="856" spans="12:12" x14ac:dyDescent="0.3">
      <c r="L856" s="3"/>
    </row>
    <row r="857" spans="12:12" x14ac:dyDescent="0.3">
      <c r="L857" s="3"/>
    </row>
    <row r="858" spans="12:12" x14ac:dyDescent="0.3">
      <c r="L858" s="3"/>
    </row>
    <row r="859" spans="12:12" x14ac:dyDescent="0.3">
      <c r="L859" s="3"/>
    </row>
    <row r="860" spans="12:12" x14ac:dyDescent="0.3">
      <c r="L860" s="3"/>
    </row>
    <row r="861" spans="12:12" x14ac:dyDescent="0.3">
      <c r="L861" s="3"/>
    </row>
    <row r="862" spans="12:12" x14ac:dyDescent="0.3">
      <c r="L862" s="3"/>
    </row>
    <row r="863" spans="12:12" x14ac:dyDescent="0.3">
      <c r="L863" s="3"/>
    </row>
    <row r="864" spans="12:12" x14ac:dyDescent="0.3">
      <c r="L864" s="3"/>
    </row>
    <row r="865" spans="12:12" x14ac:dyDescent="0.3">
      <c r="L865" s="3"/>
    </row>
    <row r="866" spans="12:12" x14ac:dyDescent="0.3">
      <c r="L866" s="3"/>
    </row>
    <row r="867" spans="12:12" x14ac:dyDescent="0.3">
      <c r="L867" s="3"/>
    </row>
    <row r="868" spans="12:12" x14ac:dyDescent="0.3">
      <c r="L868" s="3"/>
    </row>
    <row r="869" spans="12:12" x14ac:dyDescent="0.3">
      <c r="L869" s="3"/>
    </row>
    <row r="870" spans="12:12" x14ac:dyDescent="0.3">
      <c r="L870" s="3"/>
    </row>
    <row r="871" spans="12:12" x14ac:dyDescent="0.3">
      <c r="L871" s="3"/>
    </row>
    <row r="872" spans="12:12" x14ac:dyDescent="0.3">
      <c r="L872" s="3"/>
    </row>
    <row r="873" spans="12:12" x14ac:dyDescent="0.3">
      <c r="L873" s="3"/>
    </row>
    <row r="874" spans="12:12" x14ac:dyDescent="0.3">
      <c r="L874" s="3"/>
    </row>
    <row r="875" spans="12:12" x14ac:dyDescent="0.3">
      <c r="L875" s="3"/>
    </row>
    <row r="876" spans="12:12" x14ac:dyDescent="0.3">
      <c r="L876" s="3"/>
    </row>
    <row r="877" spans="12:12" x14ac:dyDescent="0.3">
      <c r="L877" s="3"/>
    </row>
    <row r="878" spans="12:12" x14ac:dyDescent="0.3">
      <c r="L878" s="3"/>
    </row>
    <row r="879" spans="12:12" x14ac:dyDescent="0.3">
      <c r="L879" s="3"/>
    </row>
    <row r="880" spans="12:12" x14ac:dyDescent="0.3">
      <c r="L880" s="3"/>
    </row>
    <row r="881" spans="12:12" x14ac:dyDescent="0.3">
      <c r="L881" s="3"/>
    </row>
    <row r="882" spans="12:12" x14ac:dyDescent="0.3">
      <c r="L882" s="3"/>
    </row>
    <row r="883" spans="12:12" x14ac:dyDescent="0.3">
      <c r="L883" s="3"/>
    </row>
  </sheetData>
  <conditionalFormatting sqref="L711:L1048576 L1:L7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701">
    <cfRule type="containsText" dxfId="1" priority="1" operator="containsText" text="High Price">
      <formula>NOT(ISERROR(SEARCH("High Price",P2)))</formula>
    </cfRule>
    <cfRule type="containsText" dxfId="0" priority="2" operator="containsText" text="High Price">
      <formula>NOT(ISERROR(SEARCH("High Price",P2)))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6A1B-265C-481E-99DB-232206BFCD2B}">
  <dimension ref="A2:M25"/>
  <sheetViews>
    <sheetView workbookViewId="0">
      <selection activeCell="M19" sqref="M19"/>
    </sheetView>
  </sheetViews>
  <sheetFormatPr defaultRowHeight="14.4" x14ac:dyDescent="0.3"/>
  <cols>
    <col min="1" max="1" width="12.44140625" bestFit="1" customWidth="1"/>
    <col min="2" max="2" width="18.109375" bestFit="1" customWidth="1"/>
    <col min="3" max="3" width="11.44140625" bestFit="1" customWidth="1"/>
    <col min="4" max="4" width="5.5546875" bestFit="1" customWidth="1"/>
    <col min="5" max="5" width="15.33203125" bestFit="1" customWidth="1"/>
    <col min="6" max="6" width="15.5546875" bestFit="1" customWidth="1"/>
    <col min="7" max="7" width="14.6640625" bestFit="1" customWidth="1"/>
    <col min="8" max="8" width="10.88671875" bestFit="1" customWidth="1"/>
    <col min="9" max="9" width="8.5546875" bestFit="1" customWidth="1"/>
    <col min="10" max="10" width="10.5546875" bestFit="1" customWidth="1"/>
    <col min="11" max="11" width="16.33203125" bestFit="1" customWidth="1"/>
    <col min="12" max="12" width="12.21875" bestFit="1" customWidth="1"/>
    <col min="13" max="13" width="14.77734375" bestFit="1" customWidth="1"/>
    <col min="14" max="14" width="6.88671875" bestFit="1" customWidth="1"/>
    <col min="15" max="19" width="10.44140625" bestFit="1" customWidth="1"/>
    <col min="20" max="20" width="6.88671875" bestFit="1" customWidth="1"/>
    <col min="21" max="21" width="10.5546875" bestFit="1" customWidth="1"/>
    <col min="22" max="22" width="10.33203125" bestFit="1" customWidth="1"/>
    <col min="23" max="23" width="7.44140625" bestFit="1" customWidth="1"/>
    <col min="24" max="24" width="6" bestFit="1" customWidth="1"/>
    <col min="25" max="25" width="13.109375" bestFit="1" customWidth="1"/>
    <col min="26" max="26" width="10.5546875" bestFit="1" customWidth="1"/>
    <col min="28" max="28" width="5.6640625" bestFit="1" customWidth="1"/>
    <col min="29" max="29" width="6.33203125" bestFit="1" customWidth="1"/>
    <col min="30" max="30" width="6.5546875" bestFit="1" customWidth="1"/>
    <col min="31" max="31" width="7" bestFit="1" customWidth="1"/>
    <col min="32" max="32" width="15.44140625" bestFit="1" customWidth="1"/>
    <col min="33" max="33" width="10.21875" bestFit="1" customWidth="1"/>
    <col min="34" max="34" width="11.44140625" bestFit="1" customWidth="1"/>
    <col min="35" max="35" width="5.5546875" bestFit="1" customWidth="1"/>
    <col min="37" max="37" width="5.6640625" bestFit="1" customWidth="1"/>
    <col min="38" max="38" width="6.33203125" bestFit="1" customWidth="1"/>
    <col min="39" max="39" width="6.5546875" bestFit="1" customWidth="1"/>
    <col min="40" max="40" width="7" bestFit="1" customWidth="1"/>
    <col min="41" max="41" width="13.109375" bestFit="1" customWidth="1"/>
    <col min="42" max="42" width="10.5546875" bestFit="1" customWidth="1"/>
  </cols>
  <sheetData>
    <row r="2" spans="1:13" ht="17.399999999999999" x14ac:dyDescent="0.35">
      <c r="A2" s="20" t="s">
        <v>271</v>
      </c>
      <c r="B2" s="20"/>
      <c r="E2" s="20" t="s">
        <v>272</v>
      </c>
      <c r="F2" s="20"/>
      <c r="G2" s="20"/>
      <c r="H2" s="20"/>
      <c r="I2" s="20"/>
      <c r="J2" s="20"/>
      <c r="L2" s="21" t="s">
        <v>273</v>
      </c>
      <c r="M2" s="21"/>
    </row>
    <row r="4" spans="1:13" x14ac:dyDescent="0.3">
      <c r="A4" s="16" t="s">
        <v>263</v>
      </c>
      <c r="B4" t="s">
        <v>270</v>
      </c>
      <c r="E4" s="16" t="s">
        <v>269</v>
      </c>
      <c r="F4" s="16" t="s">
        <v>265</v>
      </c>
      <c r="L4" s="16" t="s">
        <v>263</v>
      </c>
      <c r="M4" t="s">
        <v>266</v>
      </c>
    </row>
    <row r="5" spans="1:13" x14ac:dyDescent="0.3">
      <c r="A5" s="17" t="s">
        <v>8</v>
      </c>
      <c r="B5" s="18">
        <v>25956.5</v>
      </c>
      <c r="E5" s="16" t="s">
        <v>263</v>
      </c>
      <c r="F5" t="s">
        <v>26</v>
      </c>
      <c r="G5" t="s">
        <v>11</v>
      </c>
      <c r="H5" t="s">
        <v>4</v>
      </c>
      <c r="I5" t="s">
        <v>261</v>
      </c>
      <c r="J5" t="s">
        <v>264</v>
      </c>
      <c r="L5" s="17" t="s">
        <v>10</v>
      </c>
      <c r="M5" s="18">
        <v>3109785</v>
      </c>
    </row>
    <row r="6" spans="1:13" x14ac:dyDescent="0.3">
      <c r="A6" s="17" t="s">
        <v>248</v>
      </c>
      <c r="B6" s="18">
        <v>17995.610169491527</v>
      </c>
      <c r="E6" s="17" t="s">
        <v>20</v>
      </c>
      <c r="F6">
        <v>30</v>
      </c>
      <c r="G6">
        <v>27</v>
      </c>
      <c r="H6">
        <v>27</v>
      </c>
      <c r="I6">
        <v>51</v>
      </c>
      <c r="J6">
        <v>135</v>
      </c>
      <c r="L6" s="17" t="s">
        <v>21</v>
      </c>
      <c r="M6" s="18">
        <v>1059139</v>
      </c>
    </row>
    <row r="7" spans="1:13" x14ac:dyDescent="0.3">
      <c r="A7" s="17" t="s">
        <v>20</v>
      </c>
      <c r="B7" s="18">
        <v>21184.141891891893</v>
      </c>
      <c r="E7" s="17" t="s">
        <v>52</v>
      </c>
      <c r="F7">
        <v>24</v>
      </c>
      <c r="G7">
        <v>26</v>
      </c>
      <c r="H7">
        <v>22</v>
      </c>
      <c r="I7">
        <v>61</v>
      </c>
      <c r="J7">
        <v>133</v>
      </c>
      <c r="L7" s="17" t="s">
        <v>24</v>
      </c>
      <c r="M7" s="18">
        <v>1131181</v>
      </c>
    </row>
    <row r="8" spans="1:13" x14ac:dyDescent="0.3">
      <c r="A8" s="17" t="s">
        <v>45</v>
      </c>
      <c r="B8" s="18">
        <v>14640.109589041096</v>
      </c>
      <c r="E8" s="17" t="s">
        <v>15</v>
      </c>
      <c r="F8">
        <v>36</v>
      </c>
      <c r="G8">
        <v>30</v>
      </c>
      <c r="H8">
        <v>33</v>
      </c>
      <c r="I8">
        <v>74</v>
      </c>
      <c r="J8">
        <v>173</v>
      </c>
      <c r="L8" s="17" t="s">
        <v>49</v>
      </c>
      <c r="M8" s="18">
        <v>55840</v>
      </c>
    </row>
    <row r="9" spans="1:13" x14ac:dyDescent="0.3">
      <c r="A9" s="17" t="s">
        <v>32</v>
      </c>
      <c r="B9" s="18">
        <v>10621.115384615385</v>
      </c>
      <c r="E9" s="17" t="s">
        <v>36</v>
      </c>
      <c r="F9">
        <v>15</v>
      </c>
      <c r="G9">
        <v>20</v>
      </c>
      <c r="H9">
        <v>13</v>
      </c>
      <c r="I9">
        <v>36</v>
      </c>
      <c r="J9">
        <v>84</v>
      </c>
      <c r="L9" s="17" t="s">
        <v>16</v>
      </c>
      <c r="M9" s="18">
        <v>111086</v>
      </c>
    </row>
    <row r="10" spans="1:13" x14ac:dyDescent="0.3">
      <c r="A10" s="17" t="s">
        <v>249</v>
      </c>
      <c r="B10" s="18">
        <v>1070.4285714285713</v>
      </c>
      <c r="E10" s="17" t="s">
        <v>261</v>
      </c>
      <c r="F10">
        <v>5</v>
      </c>
      <c r="G10">
        <v>4</v>
      </c>
      <c r="H10">
        <v>9</v>
      </c>
      <c r="I10">
        <v>13</v>
      </c>
      <c r="J10">
        <v>31</v>
      </c>
      <c r="L10" s="17" t="s">
        <v>37</v>
      </c>
      <c r="M10" s="18">
        <v>1061429</v>
      </c>
    </row>
    <row r="11" spans="1:13" x14ac:dyDescent="0.3">
      <c r="A11" s="17" t="s">
        <v>35</v>
      </c>
      <c r="B11" s="18">
        <v>999</v>
      </c>
      <c r="E11" s="17" t="s">
        <v>54</v>
      </c>
      <c r="F11">
        <v>30</v>
      </c>
      <c r="G11">
        <v>25</v>
      </c>
      <c r="H11">
        <v>27</v>
      </c>
      <c r="I11">
        <v>62</v>
      </c>
      <c r="J11">
        <v>144</v>
      </c>
      <c r="L11" s="17" t="s">
        <v>3</v>
      </c>
      <c r="M11" s="18">
        <v>3129468</v>
      </c>
    </row>
    <row r="12" spans="1:13" x14ac:dyDescent="0.3">
      <c r="A12" s="17" t="s">
        <v>247</v>
      </c>
      <c r="B12" s="18">
        <v>1016.6470588235294</v>
      </c>
      <c r="E12" s="17" t="s">
        <v>264</v>
      </c>
      <c r="F12">
        <v>140</v>
      </c>
      <c r="G12">
        <v>132</v>
      </c>
      <c r="H12">
        <v>131</v>
      </c>
      <c r="I12">
        <v>297</v>
      </c>
      <c r="J12">
        <v>700</v>
      </c>
      <c r="L12" s="17" t="s">
        <v>261</v>
      </c>
      <c r="M12" s="18">
        <v>23375</v>
      </c>
    </row>
    <row r="13" spans="1:13" x14ac:dyDescent="0.3">
      <c r="A13" s="17" t="s">
        <v>264</v>
      </c>
      <c r="B13" s="18">
        <v>13830.432857142858</v>
      </c>
      <c r="L13" s="17" t="s">
        <v>264</v>
      </c>
      <c r="M13" s="18">
        <v>9681303</v>
      </c>
    </row>
    <row r="16" spans="1:13" ht="17.399999999999999" x14ac:dyDescent="0.35">
      <c r="A16" s="20" t="s">
        <v>275</v>
      </c>
      <c r="B16" s="20"/>
      <c r="C16" s="20"/>
      <c r="D16" s="20"/>
      <c r="E16" s="20"/>
      <c r="F16" s="20"/>
      <c r="G16" s="20"/>
      <c r="H16" s="20"/>
      <c r="I16" s="20"/>
      <c r="J16" s="20"/>
      <c r="L16" s="20" t="s">
        <v>274</v>
      </c>
      <c r="M16" s="20"/>
    </row>
    <row r="18" spans="1:13" x14ac:dyDescent="0.3">
      <c r="A18" s="16" t="s">
        <v>268</v>
      </c>
      <c r="B18" s="16" t="s">
        <v>265</v>
      </c>
      <c r="L18" s="16" t="s">
        <v>263</v>
      </c>
      <c r="M18" t="s">
        <v>267</v>
      </c>
    </row>
    <row r="19" spans="1:13" x14ac:dyDescent="0.3">
      <c r="A19" s="16" t="s">
        <v>263</v>
      </c>
      <c r="B19" t="s">
        <v>10</v>
      </c>
      <c r="C19" t="s">
        <v>21</v>
      </c>
      <c r="D19" t="s">
        <v>24</v>
      </c>
      <c r="E19" t="s">
        <v>49</v>
      </c>
      <c r="F19" t="s">
        <v>16</v>
      </c>
      <c r="G19" t="s">
        <v>37</v>
      </c>
      <c r="H19" t="s">
        <v>3</v>
      </c>
      <c r="I19" t="s">
        <v>261</v>
      </c>
      <c r="J19" t="s">
        <v>264</v>
      </c>
      <c r="L19" s="17" t="s">
        <v>20</v>
      </c>
      <c r="M19">
        <v>135</v>
      </c>
    </row>
    <row r="20" spans="1:13" x14ac:dyDescent="0.3">
      <c r="A20" s="17" t="s">
        <v>26</v>
      </c>
      <c r="B20">
        <v>21</v>
      </c>
      <c r="C20">
        <v>13</v>
      </c>
      <c r="D20">
        <v>27</v>
      </c>
      <c r="E20">
        <v>10</v>
      </c>
      <c r="F20">
        <v>23</v>
      </c>
      <c r="G20">
        <v>10</v>
      </c>
      <c r="H20">
        <v>29</v>
      </c>
      <c r="I20">
        <v>7</v>
      </c>
      <c r="J20">
        <v>140</v>
      </c>
      <c r="L20" s="17" t="s">
        <v>52</v>
      </c>
      <c r="M20">
        <v>133</v>
      </c>
    </row>
    <row r="21" spans="1:13" x14ac:dyDescent="0.3">
      <c r="A21" s="17" t="s">
        <v>11</v>
      </c>
      <c r="B21">
        <v>25</v>
      </c>
      <c r="C21">
        <v>10</v>
      </c>
      <c r="D21">
        <v>23</v>
      </c>
      <c r="E21">
        <v>14</v>
      </c>
      <c r="F21">
        <v>25</v>
      </c>
      <c r="G21">
        <v>11</v>
      </c>
      <c r="H21">
        <v>17</v>
      </c>
      <c r="I21">
        <v>7</v>
      </c>
      <c r="J21">
        <v>132</v>
      </c>
      <c r="L21" s="17" t="s">
        <v>15</v>
      </c>
      <c r="M21">
        <v>173</v>
      </c>
    </row>
    <row r="22" spans="1:13" x14ac:dyDescent="0.3">
      <c r="A22" s="17" t="s">
        <v>4</v>
      </c>
      <c r="B22">
        <v>19</v>
      </c>
      <c r="C22">
        <v>15</v>
      </c>
      <c r="D22">
        <v>19</v>
      </c>
      <c r="E22">
        <v>6</v>
      </c>
      <c r="F22">
        <v>20</v>
      </c>
      <c r="G22">
        <v>18</v>
      </c>
      <c r="H22">
        <v>31</v>
      </c>
      <c r="I22">
        <v>3</v>
      </c>
      <c r="J22">
        <v>131</v>
      </c>
      <c r="L22" s="17" t="s">
        <v>36</v>
      </c>
      <c r="M22">
        <v>84</v>
      </c>
    </row>
    <row r="23" spans="1:13" x14ac:dyDescent="0.3">
      <c r="A23" s="17" t="s">
        <v>261</v>
      </c>
      <c r="B23">
        <v>50</v>
      </c>
      <c r="C23">
        <v>23</v>
      </c>
      <c r="D23">
        <v>50</v>
      </c>
      <c r="E23">
        <v>30</v>
      </c>
      <c r="F23">
        <v>46</v>
      </c>
      <c r="G23">
        <v>33</v>
      </c>
      <c r="H23">
        <v>56</v>
      </c>
      <c r="I23">
        <v>9</v>
      </c>
      <c r="J23">
        <v>297</v>
      </c>
      <c r="L23" s="17" t="s">
        <v>261</v>
      </c>
      <c r="M23">
        <v>31</v>
      </c>
    </row>
    <row r="24" spans="1:13" x14ac:dyDescent="0.3">
      <c r="A24" s="17" t="s">
        <v>264</v>
      </c>
      <c r="B24">
        <v>115</v>
      </c>
      <c r="C24">
        <v>61</v>
      </c>
      <c r="D24">
        <v>119</v>
      </c>
      <c r="E24">
        <v>60</v>
      </c>
      <c r="F24">
        <v>114</v>
      </c>
      <c r="G24">
        <v>72</v>
      </c>
      <c r="H24">
        <v>133</v>
      </c>
      <c r="I24">
        <v>26</v>
      </c>
      <c r="J24">
        <v>700</v>
      </c>
      <c r="L24" s="17" t="s">
        <v>54</v>
      </c>
      <c r="M24">
        <v>144</v>
      </c>
    </row>
    <row r="25" spans="1:13" x14ac:dyDescent="0.3">
      <c r="L25" s="17" t="s">
        <v>264</v>
      </c>
      <c r="M25">
        <v>700</v>
      </c>
    </row>
  </sheetData>
  <mergeCells count="5">
    <mergeCell ref="A16:J16"/>
    <mergeCell ref="L16:M16"/>
    <mergeCell ref="A2:B2"/>
    <mergeCell ref="E2:J2"/>
    <mergeCell ref="L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B183-88D6-48BD-A627-E2618EE5DF18}">
  <dimension ref="A1:G1"/>
  <sheetViews>
    <sheetView workbookViewId="0">
      <selection activeCell="O19" sqref="O19"/>
    </sheetView>
  </sheetViews>
  <sheetFormatPr defaultRowHeight="14.4" x14ac:dyDescent="0.3"/>
  <sheetData>
    <row r="1" spans="1:7" x14ac:dyDescent="0.3">
      <c r="A1" s="22"/>
      <c r="B1" s="22"/>
      <c r="C1" s="22"/>
      <c r="D1" s="22"/>
      <c r="E1" s="22"/>
      <c r="F1" s="22"/>
      <c r="G1" s="22"/>
    </row>
  </sheetData>
  <mergeCells count="1"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A852-A3F3-4BA2-9844-46604430DE7F}">
  <dimension ref="A1:AA90"/>
  <sheetViews>
    <sheetView zoomScale="90" zoomScaleNormal="90" workbookViewId="0">
      <selection activeCell="X2" sqref="X2"/>
    </sheetView>
  </sheetViews>
  <sheetFormatPr defaultRowHeight="14.4" x14ac:dyDescent="0.3"/>
  <sheetData>
    <row r="1" spans="1:27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27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1:27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spans="1:27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x14ac:dyDescent="0.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spans="1:27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7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spans="1:27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spans="1:27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spans="1:27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spans="1:27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1:27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1:27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1:27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1:27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x14ac:dyDescent="0.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x14ac:dyDescent="0.3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x14ac:dyDescent="0.3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1:27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1:27" x14ac:dyDescent="0.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7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1:27" x14ac:dyDescent="0.3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 x14ac:dyDescent="0.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x14ac:dyDescent="0.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1:27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1:27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1:27" x14ac:dyDescent="0.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1:27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1:27" x14ac:dyDescent="0.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1:27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1:27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1:27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1:27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1:27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7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7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1:27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1:27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1:27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1:27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1:27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spans="1:27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spans="1:27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spans="1:27" x14ac:dyDescent="0.3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ecommerce_sales</vt:lpstr>
      <vt:lpstr>Pivot Tables</vt:lpstr>
      <vt:lpstr>Pivot Charts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AIREENA ANTONY</cp:lastModifiedBy>
  <dcterms:created xsi:type="dcterms:W3CDTF">2026-10-02T06:41:21Z</dcterms:created>
  <dcterms:modified xsi:type="dcterms:W3CDTF">2026-10-07T19:20:19Z</dcterms:modified>
</cp:coreProperties>
</file>